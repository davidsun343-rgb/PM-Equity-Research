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vn San Build Uno\Downloads\"/>
    </mc:Choice>
  </mc:AlternateContent>
  <xr:revisionPtr revIDLastSave="0" documentId="13_ncr:1_{624CA085-7309-4983-9970-3D8DE157E93C}" xr6:coauthVersionLast="47" xr6:coauthVersionMax="47" xr10:uidLastSave="{00000000-0000-0000-0000-000000000000}"/>
  <bookViews>
    <workbookView xWindow="6060" yWindow="3090" windowWidth="28800" windowHeight="15435" activeTab="6" xr2:uid="{00000000-000D-0000-FFFF-FFFF00000000}"/>
  </bookViews>
  <sheets>
    <sheet name="Assumptions" sheetId="2" r:id="rId1"/>
    <sheet name="Income Statement" sheetId="3" r:id="rId2"/>
    <sheet name="FCF" sheetId="4" r:id="rId3"/>
    <sheet name="DCF" sheetId="5" r:id="rId4"/>
    <sheet name="Sensitivity Analysis" sheetId="6" r:id="rId5"/>
    <sheet name="Qualitative Analysis" sheetId="1" r:id="rId6"/>
    <sheet name="Comparable Companie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5" l="1"/>
  <c r="C14" i="5"/>
  <c r="I5" i="5"/>
  <c r="H5" i="5"/>
  <c r="G5" i="5"/>
  <c r="F5" i="5"/>
  <c r="E5" i="5"/>
  <c r="D5" i="5"/>
  <c r="C5" i="5"/>
  <c r="I8" i="3"/>
  <c r="H8" i="3"/>
  <c r="G8" i="3"/>
  <c r="F8" i="3"/>
  <c r="E8" i="3"/>
  <c r="D8" i="3"/>
  <c r="C8" i="3"/>
  <c r="I6" i="3"/>
  <c r="H6" i="3"/>
  <c r="G6" i="3"/>
  <c r="F6" i="3"/>
  <c r="E6" i="3"/>
  <c r="D6" i="3"/>
  <c r="C6" i="3"/>
  <c r="C5" i="3"/>
  <c r="C7" i="4" s="1"/>
  <c r="C7" i="3" l="1"/>
  <c r="C6" i="4"/>
  <c r="D5" i="3"/>
  <c r="C5" i="4"/>
  <c r="D6" i="4" l="1"/>
  <c r="D7" i="3"/>
  <c r="D5" i="4"/>
  <c r="D7" i="4"/>
  <c r="E5" i="3"/>
  <c r="C10" i="3"/>
  <c r="C4" i="4" s="1"/>
  <c r="C8" i="4" s="1"/>
  <c r="C4" i="5" s="1"/>
  <c r="C6" i="5" s="1"/>
  <c r="C9" i="3"/>
  <c r="E7" i="4" l="1"/>
  <c r="F5" i="3"/>
  <c r="E6" i="4"/>
  <c r="E7" i="3"/>
  <c r="E5" i="4"/>
  <c r="D9" i="3"/>
  <c r="D10" i="3"/>
  <c r="D4" i="4" s="1"/>
  <c r="D8" i="4" s="1"/>
  <c r="D4" i="5" s="1"/>
  <c r="D6" i="5" s="1"/>
  <c r="E9" i="3" l="1"/>
  <c r="E10" i="3" s="1"/>
  <c r="E4" i="4" s="1"/>
  <c r="E8" i="4" s="1"/>
  <c r="E4" i="5" s="1"/>
  <c r="E6" i="5" s="1"/>
  <c r="F6" i="4"/>
  <c r="F7" i="3"/>
  <c r="F7" i="4"/>
  <c r="F5" i="4"/>
  <c r="G5" i="3"/>
  <c r="F9" i="3" l="1"/>
  <c r="F10" i="3" s="1"/>
  <c r="F4" i="4" s="1"/>
  <c r="F8" i="4" s="1"/>
  <c r="F4" i="5" s="1"/>
  <c r="F6" i="5" s="1"/>
  <c r="G5" i="4"/>
  <c r="H5" i="3"/>
  <c r="G7" i="4"/>
  <c r="G6" i="4"/>
  <c r="G7" i="3"/>
  <c r="H7" i="3" l="1"/>
  <c r="H7" i="4"/>
  <c r="H6" i="4"/>
  <c r="H5" i="4"/>
  <c r="I5" i="3"/>
  <c r="G10" i="3"/>
  <c r="G4" i="4" s="1"/>
  <c r="G8" i="4" s="1"/>
  <c r="G4" i="5" s="1"/>
  <c r="G6" i="5" s="1"/>
  <c r="G9" i="3"/>
  <c r="I7" i="4" l="1"/>
  <c r="I6" i="4"/>
  <c r="I7" i="3"/>
  <c r="I5" i="4"/>
  <c r="H9" i="3"/>
  <c r="H10" i="3" s="1"/>
  <c r="H4" i="4" s="1"/>
  <c r="H8" i="4" s="1"/>
  <c r="H4" i="5" s="1"/>
  <c r="H6" i="5" s="1"/>
  <c r="I9" i="3" l="1"/>
  <c r="I10" i="3" s="1"/>
  <c r="I4" i="4" s="1"/>
  <c r="I8" i="4" s="1"/>
  <c r="I4" i="5" s="1"/>
  <c r="I8" i="5" l="1"/>
  <c r="I9" i="5" s="1"/>
  <c r="C12" i="5" s="1"/>
  <c r="I6" i="5"/>
  <c r="C11" i="5" s="1"/>
  <c r="F6" i="6" l="1"/>
  <c r="E5" i="6"/>
  <c r="D4" i="6"/>
  <c r="C3" i="6"/>
  <c r="B2" i="6"/>
  <c r="C5" i="6"/>
  <c r="C6" i="6"/>
  <c r="F4" i="6"/>
  <c r="E3" i="6"/>
  <c r="D2" i="6"/>
  <c r="F5" i="6"/>
  <c r="D3" i="6"/>
  <c r="C2" i="6"/>
  <c r="E6" i="6"/>
  <c r="D5" i="6"/>
  <c r="C4" i="6"/>
  <c r="B3" i="6"/>
  <c r="D6" i="6"/>
  <c r="B4" i="6"/>
  <c r="F2" i="6"/>
  <c r="B5" i="6"/>
  <c r="F3" i="6"/>
  <c r="E2" i="6"/>
  <c r="B6" i="6"/>
  <c r="E4" i="6"/>
  <c r="C13" i="5"/>
  <c r="C15" i="5" s="1"/>
  <c r="C17" i="5" s="1"/>
</calcChain>
</file>

<file path=xl/sharedStrings.xml><?xml version="1.0" encoding="utf-8"?>
<sst xmlns="http://schemas.openxmlformats.org/spreadsheetml/2006/main" count="154" uniqueCount="148">
  <si>
    <t>Income Statement</t>
  </si>
  <si>
    <t>FY2025</t>
  </si>
  <si>
    <t xml:space="preserve">Base Revenue </t>
  </si>
  <si>
    <t>Revenue</t>
  </si>
  <si>
    <t>Revenue Growth  %</t>
  </si>
  <si>
    <t>EBIT</t>
  </si>
  <si>
    <t xml:space="preserve">EBIT Margin % </t>
  </si>
  <si>
    <t xml:space="preserve">Tax </t>
  </si>
  <si>
    <t>NOPAT</t>
  </si>
  <si>
    <t>PHILIP MORRIS INTERNATIONAL  |  QUALITATIVE ANALYSIS</t>
  </si>
  <si>
    <t>Supporting analysis for DCF valuation  |  March 2026</t>
  </si>
  <si>
    <t xml:space="preserve">  ▪  BUSINESS OVERVIEW</t>
  </si>
  <si>
    <t>Philip Morris International (NYSE: PM) is a leading international tobacco and nicotine company, operating in over 180 markets. The company is executing a transformation from combustible cigarettes toward smoke-free products, led by its IQOS heated tobacco platform and ZYN nicotine pouches (via Swedish Match). As of 2025, approximately 40% of PM's net revenues are derived from smoke-free products, with a stated goal of becoming a predominantly smoke-free company by 2030.</t>
  </si>
  <si>
    <t xml:space="preserve">  ▲  BULL CASE — Supports Assumptions</t>
  </si>
  <si>
    <t xml:space="preserve">  ▼  BEAR CASE — Key Risks</t>
  </si>
  <si>
    <t xml:space="preserve">  IQOS Growth Momentum</t>
  </si>
  <si>
    <t>IQOS has achieved dominant heated tobacco market share in Japan and key European markets. FDA MRTP authorization in the US provides a regulatory tailwind and competitive moat that peers lack.</t>
  </si>
  <si>
    <t xml:space="preserve">  Combustible Volume Decline</t>
  </si>
  <si>
    <t>Industry cigarette volumes are declining at 3–5% per annum structurally. If IQOS uptake does not fully offset this, total volumes compress — a key assumption risk in any revenue growth model.</t>
  </si>
  <si>
    <t xml:space="preserve">  Exceptional Pricing Power</t>
  </si>
  <si>
    <t>PM has consistently raised combustible prices above inflation for decades. Smoke-free products carry higher ASPs, supporting margin expansion even as volumes shift.</t>
  </si>
  <si>
    <t xml:space="preserve">  Regulatory Escalation</t>
  </si>
  <si>
    <t>Governments in Australia, the UK, and the EU have signaled stricter controls on heated tobacco and flavored nicotine products. A broad regulatory crackdown could impair both combustible and IQOS revenues.</t>
  </si>
  <si>
    <t xml:space="preserve">  ZYN / Nicotine Pouch Optionality</t>
  </si>
  <si>
    <t>ZYN is the #1 nicotine pouch brand in the US by volume. The category is growing rapidly with minimal regulatory friction, providing a high-margin revenue layer not fully captured in consensus estimates.</t>
  </si>
  <si>
    <t xml:space="preserve">  FX Headwinds</t>
  </si>
  <si>
    <t>PM generates ~100% of revenues outside the US. A sustained strong USD environment directly reduces reported revenues and earnings, creating meaningful earnings volatility not captured in local-currency growth rates.</t>
  </si>
  <si>
    <t xml:space="preserve">  Capital Returns Discipline</t>
  </si>
  <si>
    <t>PM has maintained and grown its dividend through multiple macro cycles. Share buybacks provide EPS accretion even in flat revenue environments, supporting shareholder value.</t>
  </si>
  <si>
    <t xml:space="preserve">  Competitive Pressure</t>
  </si>
  <si>
    <t>BAT (Vuse/glo), Japan Tobacco (Ploom), and KT&amp;G are investing aggressively in heated tobacco. IQOS market share leadership is not guaranteed, particularly in newer geographies.</t>
  </si>
  <si>
    <t xml:space="preserve">  Emerging Market Penetration</t>
  </si>
  <si>
    <t>IQOS is in early innings across Southeast Asia, Middle East, and Latin America — large addressable markets with growing middle-class consumers and lower regulatory intensity than Europe.</t>
  </si>
  <si>
    <t xml:space="preserve">  Swedish Match Integration Risk</t>
  </si>
  <si>
    <t>The $16B acquisition of Swedish Match in 2022 added significant leverage. Integration execution, ZYN regulatory risk (FDA PMTA), and debt servicing constrain financial flexibility.</t>
  </si>
  <si>
    <t xml:space="preserve">  ▪  COMPETITIVE POSITIONING  &amp;  INDUSTRY DYNAMICS</t>
  </si>
  <si>
    <t xml:space="preserve">  Market Structure</t>
  </si>
  <si>
    <t>The global tobacco industry is a consolidated oligopoly. PM, BAT, JT, and Altria collectively control ~70% of international volume. High barriers to entry (brand, distribution, regulation) protect incumbents from new entrants.</t>
  </si>
  <si>
    <t xml:space="preserve">  Smoke-Free Leadership</t>
  </si>
  <si>
    <t>PM is widely regarded as the most advanced tobacco company in smoke-free transition. IQOS has ~25M users globally (as of 2025), a figure that took peers years to achieve with their own platforms.</t>
  </si>
  <si>
    <t xml:space="preserve">  ESG &amp; Investor Base</t>
  </si>
  <si>
    <t>ESG-driven divestment from tobacco continues to narrow PM's institutional investor base and pressures cost of capital over time. However, PM's transformation narrative has attracted some ESG-positive capital back.</t>
  </si>
  <si>
    <t xml:space="preserve">  Illicit Trade Risk</t>
  </si>
  <si>
    <t>In high-tax markets (e.g., UK, Australia, parts of MENA), illicit cigarette trade can displace 10–20% of legal volume, constraining PM's ability to raise prices or maintain volume share.</t>
  </si>
  <si>
    <t xml:space="preserve">  ▪  ASSUMPTION JUSTIFICATION  —  Linking Qualitative View to DCF Inputs</t>
  </si>
  <si>
    <t xml:space="preserve">  Assumption</t>
  </si>
  <si>
    <t>Value Used</t>
  </si>
  <si>
    <t xml:space="preserve">  Rationale</t>
  </si>
  <si>
    <t xml:space="preserve">  Revenue Growth Y1-Y3</t>
  </si>
  <si>
    <t>7.0%</t>
  </si>
  <si>
    <t>Supported by IQOS volume ramp, ZYN expansion, and pricing. Consistent with mid-point of analyst consensus. Risk: combustible volume decline accelerates.</t>
  </si>
  <si>
    <t xml:space="preserve">  Revenue Growth Y4-Y7</t>
  </si>
  <si>
    <t>5.0%</t>
  </si>
  <si>
    <t>Step-down reflects maturing IQOS penetration in developed markets and gradual combustible headwinds. Conservative vs. PM's own mid-term guidance.</t>
  </si>
  <si>
    <t xml:space="preserve">  Terminal Growth Rate</t>
  </si>
  <si>
    <t>2.0%</t>
  </si>
  <si>
    <t>Set at long-run nominal GDP growth. Arguably generous for tobacco — a 1.0–1.5% TGR would be more conservative. Sensitivity table captures this range.</t>
  </si>
  <si>
    <t xml:space="preserve">  EBIT Margin</t>
  </si>
  <si>
    <t>36.7%</t>
  </si>
  <si>
    <t>Held constant at FY2025 levels. Does not capture smoke-free margin expansion. A 37–39% exit margin by Y7 is plausible if IQOS mix shift continues as expected.</t>
  </si>
  <si>
    <t xml:space="preserve">  WACC</t>
  </si>
  <si>
    <t>5.95%</t>
  </si>
  <si>
    <t>Reflects PM's investment-grade profile and low beta (~0.7x). Appropriate given stable cash flows but arguably low given leverage (Net Debt/EBITDA ~3.5x post-Swedish Match).</t>
  </si>
  <si>
    <t xml:space="preserve">  Tax Rate</t>
  </si>
  <si>
    <t>19.7%</t>
  </si>
  <si>
    <t>Based on effective rate from recent filings. Geographically diversified tax base. Risk: OECD 15% global minimum tax implementation could modestly increase rate.</t>
  </si>
  <si>
    <t xml:space="preserve">  ▪  INVESTMENT CONCLUSION</t>
  </si>
  <si>
    <t>Our base-case DCF implies an intrinsic value of ~$229/share, representing approximately 38% upside to the current price of $166. This is supported by PM's leading position in smoke-free nicotine, durable pricing power, and above-average FCF conversion. 
The key risk to the thesis is execution: if IQOS market share gains plateau or combustible volumes decline faster than expected, revenue growth assumptions will prove too optimistic. The terminal value represents ~78% of enterprise value, making the model highly sensitive to the TGR and WACC — both of which are at the generous end of a reasonable range for a tobacco company. 
On balance, PM appears undervalued at current levels for an investor with a 3–5 year horizon and tolerance for tobacco sector risk. A margin of safety exists even under conservative assumptions (see Sensitivity Analysis sheet).</t>
  </si>
  <si>
    <t xml:space="preserve">Phillip Morris International -  DCF </t>
  </si>
  <si>
    <t xml:space="preserve">March 23rd, 2026 </t>
  </si>
  <si>
    <t xml:space="preserve">Shares Outstanding </t>
  </si>
  <si>
    <t>millions</t>
  </si>
  <si>
    <t>Current Share price</t>
  </si>
  <si>
    <t>USD</t>
  </si>
  <si>
    <t>Net Debt</t>
  </si>
  <si>
    <t>million</t>
  </si>
  <si>
    <t xml:space="preserve">Assumptions </t>
  </si>
  <si>
    <t xml:space="preserve">Net Revenue Growth Y1 - Y3 </t>
  </si>
  <si>
    <t>Net Revenue Growth Y4-Y7</t>
  </si>
  <si>
    <t>Terminal Value Growth Y7 onward</t>
  </si>
  <si>
    <t>EBIT Margin</t>
  </si>
  <si>
    <t xml:space="preserve">D&amp;A as a % of revenue </t>
  </si>
  <si>
    <t>Capex % of revenue</t>
  </si>
  <si>
    <t xml:space="preserve">Change in NWC% </t>
  </si>
  <si>
    <t>Tax Rate</t>
  </si>
  <si>
    <t>WACC</t>
  </si>
  <si>
    <t>Cost of equity</t>
  </si>
  <si>
    <t>Cost of debt</t>
  </si>
  <si>
    <t>After Tax cost of Debt</t>
  </si>
  <si>
    <t>FCF</t>
  </si>
  <si>
    <t>D&amp;A</t>
  </si>
  <si>
    <t>CapEx</t>
  </si>
  <si>
    <t>Change in NWC</t>
  </si>
  <si>
    <t>Free Cash Flows</t>
  </si>
  <si>
    <t>DCF</t>
  </si>
  <si>
    <t xml:space="preserve">Free Cash Flows </t>
  </si>
  <si>
    <t>Discount Rate</t>
  </si>
  <si>
    <t xml:space="preserve">PV of FCF </t>
  </si>
  <si>
    <t xml:space="preserve">Terminal Value </t>
  </si>
  <si>
    <t xml:space="preserve">PV of Terminal Value </t>
  </si>
  <si>
    <t xml:space="preserve">Sum of PV of FCF </t>
  </si>
  <si>
    <t>Enterprise Value</t>
  </si>
  <si>
    <t xml:space="preserve">Less: Net Debt </t>
  </si>
  <si>
    <t xml:space="preserve">Equity Value </t>
  </si>
  <si>
    <t xml:space="preserve">Implied Share Price </t>
  </si>
  <si>
    <t xml:space="preserve">                                TGR
WACC</t>
  </si>
  <si>
    <t>Current  Price</t>
  </si>
  <si>
    <t>Note: Peer multiples based on TTM financials as of March 2026. Implied prices use PM FY2025 EBITDA/Revenue and net debt of $43,963mm.</t>
  </si>
  <si>
    <t>DCF Intrinsic Value (Base Case)</t>
  </si>
  <si>
    <t>(▼ $173)</t>
  </si>
  <si>
    <t>3.2x</t>
  </si>
  <si>
    <t>Revenue: $40,648mm</t>
  </si>
  <si>
    <t>EV / Revenue</t>
  </si>
  <si>
    <t>(▼ $164)</t>
  </si>
  <si>
    <t>8.1x</t>
  </si>
  <si>
    <t>EBITDA: $17,894mm</t>
  </si>
  <si>
    <t>EV / EBITDA</t>
  </si>
  <si>
    <t>vs. DCF ($229)</t>
  </si>
  <si>
    <t>Implied Price</t>
  </si>
  <si>
    <t>Implied EV ($mm)</t>
  </si>
  <si>
    <t>Peer Median Multiple</t>
  </si>
  <si>
    <t>PM Metric</t>
  </si>
  <si>
    <t>Metric</t>
  </si>
  <si>
    <t>Valuation Bridge  —  Implied Share Price vs. DCF</t>
  </si>
  <si>
    <t>Peer Median</t>
  </si>
  <si>
    <t>Peer Mean</t>
  </si>
  <si>
    <t>IMBBY</t>
  </si>
  <si>
    <t>Imperial Brands</t>
  </si>
  <si>
    <t>JAPAY</t>
  </si>
  <si>
    <t>Japan Tobacco</t>
  </si>
  <si>
    <t>MO</t>
  </si>
  <si>
    <t>Altria Group</t>
  </si>
  <si>
    <t>BTI</t>
  </si>
  <si>
    <t>British American Tobacco</t>
  </si>
  <si>
    <t>PM</t>
  </si>
  <si>
    <t xml:space="preserve">Philip Morris </t>
  </si>
  <si>
    <t>Div. Yield</t>
  </si>
  <si>
    <t>EV /
Revenue</t>
  </si>
  <si>
    <t>P / E
(TTM)</t>
  </si>
  <si>
    <t>EV /
EBITDA</t>
  </si>
  <si>
    <t>Enterprise
Value ($mm)</t>
  </si>
  <si>
    <t>Market Cap
($mm)</t>
  </si>
  <si>
    <t>Ticker</t>
  </si>
  <si>
    <t>Company</t>
  </si>
  <si>
    <t>Trading Comparables</t>
  </si>
  <si>
    <t>As of March 2026  |  Figures in USD millions  |  Source: Public filings, Bloomberg</t>
  </si>
  <si>
    <t>Philip Morris International — Comparable Company Analysis</t>
  </si>
  <si>
    <t xml:space="preserve">*All figures are in USD Millions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</si>
</sst>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0.000%"/>
    <numFmt numFmtId="166" formatCode="0.0000000000000000%"/>
    <numFmt numFmtId="167" formatCode="\$#,##0.00"/>
    <numFmt numFmtId="168" formatCode="0.0&quot;x&quot;"/>
    <numFmt numFmtId="169" formatCode="0.0%"/>
  </numFmts>
  <fonts count="2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  <font>
      <sz val="12"/>
      <color rgb="FF00206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4" tint="-0.249977111117893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rgb="FFFFFFFF"/>
      <name val="Calibri"/>
    </font>
    <font>
      <i/>
      <sz val="10"/>
      <color rgb="FF6B6B6B"/>
      <name val="Calibri"/>
    </font>
    <font>
      <b/>
      <sz val="11"/>
      <color rgb="FFFFFFFF"/>
      <name val="Calibri"/>
    </font>
    <font>
      <sz val="10"/>
      <color rgb="FF2D2D2D"/>
      <name val="Calibri"/>
    </font>
    <font>
      <b/>
      <sz val="10"/>
      <color rgb="FF1A7A4A"/>
      <name val="Calibri"/>
    </font>
    <font>
      <b/>
      <sz val="10"/>
      <color rgb="FFC0392B"/>
      <name val="Calibri"/>
    </font>
    <font>
      <b/>
      <sz val="10"/>
      <color rgb="FF1B2A4A"/>
      <name val="Calibri"/>
    </font>
    <font>
      <b/>
      <sz val="10"/>
      <color rgb="FFFFFFFF"/>
      <name val="Calibri"/>
    </font>
    <font>
      <b/>
      <sz val="10"/>
      <color rgb="FFC9A84C"/>
      <name val="Calibri"/>
    </font>
    <font>
      <i/>
      <sz val="9"/>
      <color rgb="FF595959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b/>
      <i/>
      <sz val="10"/>
      <name val="Calibri"/>
      <family val="2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B2A4A"/>
      </patternFill>
    </fill>
    <fill>
      <patternFill patternType="solid">
        <fgColor rgb="FFC9A84C"/>
      </patternFill>
    </fill>
    <fill>
      <patternFill patternType="solid">
        <fgColor rgb="FFF2F2F2"/>
      </patternFill>
    </fill>
    <fill>
      <patternFill patternType="solid">
        <fgColor rgb="FFF5ECD7"/>
      </patternFill>
    </fill>
    <fill>
      <patternFill patternType="solid">
        <fgColor rgb="FF1A7A4A"/>
      </patternFill>
    </fill>
    <fill>
      <patternFill patternType="solid">
        <fgColor rgb="FFC0392B"/>
      </patternFill>
    </fill>
    <fill>
      <patternFill patternType="solid">
        <fgColor rgb="FFFFFFFF"/>
      </patternFill>
    </fill>
    <fill>
      <patternFill patternType="solid">
        <fgColor rgb="FF3A4E6E"/>
      </patternFill>
    </fill>
    <fill>
      <patternFill patternType="solid">
        <fgColor rgb="FFD9D9D9"/>
      </patternFill>
    </fill>
    <fill>
      <patternFill patternType="solid">
        <fgColor rgb="FFE8E8E8"/>
      </patternFill>
    </fill>
  </fills>
  <borders count="11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/>
      <right/>
      <top/>
      <bottom style="medium">
        <color rgb="FFC9A84C"/>
      </bottom>
      <diagonal/>
    </border>
    <border>
      <left/>
      <right/>
      <top/>
      <bottom style="medium">
        <color rgb="FF0D5C36"/>
      </bottom>
      <diagonal/>
    </border>
    <border>
      <left/>
      <right/>
      <top/>
      <bottom style="medium">
        <color rgb="FF8B1A1A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/>
    <xf numFmtId="43" fontId="1" fillId="0" borderId="0"/>
    <xf numFmtId="44" fontId="1" fillId="0" borderId="0"/>
  </cellStyleXfs>
  <cellXfs count="9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9" fontId="0" fillId="0" borderId="0" xfId="1" applyFont="1"/>
    <xf numFmtId="164" fontId="0" fillId="0" borderId="0" xfId="1" applyNumberFormat="1" applyFont="1"/>
    <xf numFmtId="3" fontId="0" fillId="0" borderId="0" xfId="0" applyNumberFormat="1"/>
    <xf numFmtId="165" fontId="0" fillId="0" borderId="0" xfId="1" applyNumberFormat="1" applyFont="1"/>
    <xf numFmtId="43" fontId="0" fillId="0" borderId="0" xfId="2" applyFont="1"/>
    <xf numFmtId="166" fontId="0" fillId="0" borderId="0" xfId="0" applyNumberFormat="1"/>
    <xf numFmtId="0" fontId="6" fillId="0" borderId="0" xfId="0" applyFont="1"/>
    <xf numFmtId="8" fontId="6" fillId="0" borderId="0" xfId="0" applyNumberFormat="1" applyFont="1"/>
    <xf numFmtId="3" fontId="6" fillId="0" borderId="0" xfId="0" applyNumberFormat="1" applyFont="1"/>
    <xf numFmtId="9" fontId="6" fillId="0" borderId="0" xfId="0" applyNumberFormat="1" applyFont="1"/>
    <xf numFmtId="10" fontId="6" fillId="0" borderId="0" xfId="0" applyNumberFormat="1" applyFont="1"/>
    <xf numFmtId="4" fontId="0" fillId="0" borderId="0" xfId="0" applyNumberFormat="1"/>
    <xf numFmtId="4" fontId="7" fillId="0" borderId="0" xfId="0" applyNumberFormat="1" applyFont="1"/>
    <xf numFmtId="1" fontId="0" fillId="0" borderId="0" xfId="0" applyNumberFormat="1"/>
    <xf numFmtId="4" fontId="8" fillId="0" borderId="0" xfId="0" applyNumberFormat="1" applyFont="1"/>
    <xf numFmtId="1" fontId="5" fillId="0" borderId="0" xfId="0" applyNumberFormat="1" applyFont="1"/>
    <xf numFmtId="0" fontId="0" fillId="5" borderId="1" xfId="0" applyFill="1" applyBorder="1" applyAlignment="1">
      <alignment wrapText="1"/>
    </xf>
    <xf numFmtId="9" fontId="0" fillId="5" borderId="0" xfId="0" applyNumberFormat="1" applyFill="1"/>
    <xf numFmtId="10" fontId="0" fillId="5" borderId="0" xfId="0" applyNumberFormat="1" applyFill="1"/>
    <xf numFmtId="10" fontId="5" fillId="5" borderId="0" xfId="0" applyNumberFormat="1" applyFont="1" applyFill="1"/>
    <xf numFmtId="43" fontId="0" fillId="2" borderId="0" xfId="0" applyNumberFormat="1" applyFill="1"/>
    <xf numFmtId="43" fontId="0" fillId="3" borderId="0" xfId="0" applyNumberFormat="1" applyFill="1"/>
    <xf numFmtId="43" fontId="0" fillId="4" borderId="0" xfId="0" applyNumberFormat="1" applyFill="1"/>
    <xf numFmtId="0" fontId="0" fillId="5" borderId="0" xfId="0" applyFill="1"/>
    <xf numFmtId="14" fontId="0" fillId="5" borderId="0" xfId="0" applyNumberFormat="1" applyFill="1"/>
    <xf numFmtId="44" fontId="5" fillId="5" borderId="0" xfId="3" applyFont="1" applyFill="1"/>
    <xf numFmtId="44" fontId="0" fillId="5" borderId="0" xfId="3" applyFont="1" applyFill="1"/>
    <xf numFmtId="0" fontId="0" fillId="7" borderId="0" xfId="0" applyFill="1"/>
    <xf numFmtId="0" fontId="13" fillId="12" borderId="0" xfId="0" applyFont="1" applyFill="1" applyAlignment="1">
      <alignment horizontal="left" vertical="top" wrapText="1"/>
    </xf>
    <xf numFmtId="0" fontId="0" fillId="12" borderId="0" xfId="0" applyFill="1"/>
    <xf numFmtId="0" fontId="14" fillId="12" borderId="0" xfId="0" applyFont="1" applyFill="1" applyAlignment="1">
      <alignment horizontal="left" vertical="top" wrapText="1"/>
    </xf>
    <xf numFmtId="0" fontId="13" fillId="9" borderId="0" xfId="0" applyFont="1" applyFill="1" applyAlignment="1">
      <alignment horizontal="left" vertical="top" wrapText="1"/>
    </xf>
    <xf numFmtId="0" fontId="14" fillId="9" borderId="0" xfId="0" applyFont="1" applyFill="1" applyAlignment="1">
      <alignment horizontal="left" vertical="top" wrapText="1"/>
    </xf>
    <xf numFmtId="0" fontId="15" fillId="8" borderId="0" xfId="0" applyFont="1" applyFill="1" applyAlignment="1">
      <alignment horizontal="left" vertical="top" wrapText="1"/>
    </xf>
    <xf numFmtId="0" fontId="15" fillId="12" borderId="0" xfId="0" applyFont="1" applyFill="1" applyAlignment="1">
      <alignment horizontal="left" vertical="top" wrapText="1"/>
    </xf>
    <xf numFmtId="0" fontId="16" fillId="13" borderId="0" xfId="0" applyFont="1" applyFill="1" applyAlignment="1">
      <alignment horizontal="left" vertical="center"/>
    </xf>
    <xf numFmtId="0" fontId="17" fillId="12" borderId="0" xfId="0" applyFont="1" applyFill="1" applyAlignment="1">
      <alignment horizontal="center" vertical="top"/>
    </xf>
    <xf numFmtId="0" fontId="15" fillId="9" borderId="0" xfId="0" applyFont="1" applyFill="1" applyAlignment="1">
      <alignment horizontal="left" vertical="top" wrapText="1"/>
    </xf>
    <xf numFmtId="0" fontId="15" fillId="9" borderId="0" xfId="0" applyFont="1" applyFill="1" applyAlignment="1">
      <alignment horizontal="center" vertical="top"/>
    </xf>
    <xf numFmtId="0" fontId="12" fillId="9" borderId="0" xfId="0" applyFont="1" applyFill="1" applyAlignment="1">
      <alignment horizontal="left" vertical="top" wrapText="1"/>
    </xf>
    <xf numFmtId="0" fontId="0" fillId="0" borderId="0" xfId="0"/>
    <xf numFmtId="0" fontId="12" fillId="12" borderId="0" xfId="0" applyFont="1" applyFill="1" applyAlignment="1">
      <alignment horizontal="left" vertical="top" wrapText="1"/>
    </xf>
    <xf numFmtId="0" fontId="11" fillId="6" borderId="2" xfId="0" applyFont="1" applyFill="1" applyBorder="1" applyAlignment="1">
      <alignment horizontal="left" vertical="center"/>
    </xf>
    <xf numFmtId="0" fontId="12" fillId="8" borderId="0" xfId="0" applyFont="1" applyFill="1" applyAlignment="1">
      <alignment horizontal="left" vertical="top" wrapText="1"/>
    </xf>
    <xf numFmtId="0" fontId="10" fillId="8" borderId="0" xfId="0" applyFont="1" applyFill="1" applyAlignment="1">
      <alignment horizontal="center" vertical="center"/>
    </xf>
    <xf numFmtId="0" fontId="11" fillId="11" borderId="4" xfId="0" applyFont="1" applyFill="1" applyBorder="1" applyAlignment="1">
      <alignment horizontal="left" vertical="center"/>
    </xf>
    <xf numFmtId="0" fontId="11" fillId="10" borderId="3" xfId="0" applyFont="1" applyFill="1" applyBorder="1" applyAlignment="1">
      <alignment horizontal="left" vertical="center"/>
    </xf>
    <xf numFmtId="0" fontId="12" fillId="9" borderId="0" xfId="0" applyFont="1" applyFill="1" applyAlignment="1">
      <alignment horizontal="left" vertical="center" wrapText="1"/>
    </xf>
    <xf numFmtId="0" fontId="9" fillId="6" borderId="0" xfId="0" applyFont="1" applyFill="1" applyAlignment="1">
      <alignment horizontal="center" vertical="center"/>
    </xf>
    <xf numFmtId="43" fontId="5" fillId="2" borderId="0" xfId="0" applyNumberFormat="1" applyFont="1" applyFill="1"/>
    <xf numFmtId="0" fontId="18" fillId="0" borderId="0" xfId="0" applyFont="1"/>
    <xf numFmtId="0" fontId="0" fillId="14" borderId="5" xfId="0" applyFill="1" applyBorder="1"/>
    <xf numFmtId="167" fontId="19" fillId="14" borderId="6" xfId="0" applyNumberFormat="1" applyFont="1" applyFill="1" applyBorder="1" applyAlignment="1">
      <alignment horizontal="center" vertical="center"/>
    </xf>
    <xf numFmtId="0" fontId="19" fillId="14" borderId="7" xfId="0" applyFont="1" applyFill="1" applyBorder="1" applyAlignment="1">
      <alignment horizontal="left" vertical="center"/>
    </xf>
    <xf numFmtId="0" fontId="20" fillId="12" borderId="8" xfId="0" applyFont="1" applyFill="1" applyBorder="1" applyAlignment="1">
      <alignment horizontal="center" vertical="center"/>
    </xf>
    <xf numFmtId="167" fontId="19" fillId="12" borderId="9" xfId="0" applyNumberFormat="1" applyFont="1" applyFill="1" applyBorder="1" applyAlignment="1">
      <alignment horizontal="center" vertical="center"/>
    </xf>
    <xf numFmtId="3" fontId="20" fillId="12" borderId="9" xfId="0" applyNumberFormat="1" applyFont="1" applyFill="1" applyBorder="1" applyAlignment="1">
      <alignment horizontal="center" vertical="center"/>
    </xf>
    <xf numFmtId="0" fontId="0" fillId="12" borderId="9" xfId="0" applyFill="1" applyBorder="1"/>
    <xf numFmtId="0" fontId="20" fillId="12" borderId="9" xfId="0" applyFont="1" applyFill="1" applyBorder="1" applyAlignment="1">
      <alignment horizontal="center" vertical="center"/>
    </xf>
    <xf numFmtId="0" fontId="20" fillId="12" borderId="10" xfId="0" applyFont="1" applyFill="1" applyBorder="1" applyAlignment="1">
      <alignment horizontal="left" vertical="center"/>
    </xf>
    <xf numFmtId="0" fontId="20" fillId="8" borderId="8" xfId="0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3" fontId="20" fillId="8" borderId="9" xfId="0" applyNumberFormat="1" applyFont="1" applyFill="1" applyBorder="1" applyAlignment="1">
      <alignment horizontal="center" vertical="center"/>
    </xf>
    <xf numFmtId="0" fontId="0" fillId="8" borderId="9" xfId="0" applyFill="1" applyBorder="1"/>
    <xf numFmtId="0" fontId="20" fillId="8" borderId="9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left" vertical="center"/>
    </xf>
    <xf numFmtId="0" fontId="19" fillId="14" borderId="5" xfId="0" applyFont="1" applyFill="1" applyBorder="1" applyAlignment="1">
      <alignment horizontal="center" vertical="center"/>
    </xf>
    <xf numFmtId="0" fontId="19" fillId="14" borderId="6" xfId="0" applyFont="1" applyFill="1" applyBorder="1" applyAlignment="1">
      <alignment horizontal="center" vertical="center"/>
    </xf>
    <xf numFmtId="0" fontId="0" fillId="14" borderId="6" xfId="0" applyFill="1" applyBorder="1"/>
    <xf numFmtId="0" fontId="19" fillId="14" borderId="7" xfId="0" applyFont="1" applyFill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0" fillId="15" borderId="8" xfId="0" applyFill="1" applyBorder="1"/>
    <xf numFmtId="168" fontId="22" fillId="15" borderId="9" xfId="0" applyNumberFormat="1" applyFont="1" applyFill="1" applyBorder="1" applyAlignment="1">
      <alignment horizontal="center" vertical="center"/>
    </xf>
    <xf numFmtId="0" fontId="0" fillId="15" borderId="9" xfId="0" applyFill="1" applyBorder="1"/>
    <xf numFmtId="0" fontId="22" fillId="15" borderId="10" xfId="0" applyFont="1" applyFill="1" applyBorder="1" applyAlignment="1">
      <alignment horizontal="left" vertical="center"/>
    </xf>
    <xf numFmtId="169" fontId="23" fillId="12" borderId="8" xfId="0" applyNumberFormat="1" applyFont="1" applyFill="1" applyBorder="1" applyAlignment="1">
      <alignment horizontal="center" vertical="center"/>
    </xf>
    <xf numFmtId="168" fontId="23" fillId="12" borderId="9" xfId="0" applyNumberFormat="1" applyFont="1" applyFill="1" applyBorder="1" applyAlignment="1">
      <alignment horizontal="center" vertical="center"/>
    </xf>
    <xf numFmtId="3" fontId="23" fillId="12" borderId="9" xfId="0" applyNumberFormat="1" applyFont="1" applyFill="1" applyBorder="1" applyAlignment="1">
      <alignment horizontal="center" vertical="center"/>
    </xf>
    <xf numFmtId="0" fontId="23" fillId="12" borderId="9" xfId="0" applyFont="1" applyFill="1" applyBorder="1" applyAlignment="1">
      <alignment horizontal="center" vertical="center"/>
    </xf>
    <xf numFmtId="0" fontId="23" fillId="12" borderId="10" xfId="0" applyFont="1" applyFill="1" applyBorder="1" applyAlignment="1">
      <alignment horizontal="left" vertical="center"/>
    </xf>
    <xf numFmtId="169" fontId="21" fillId="8" borderId="8" xfId="0" applyNumberFormat="1" applyFont="1" applyFill="1" applyBorder="1" applyAlignment="1">
      <alignment horizontal="center" vertical="center"/>
    </xf>
    <xf numFmtId="168" fontId="21" fillId="8" borderId="9" xfId="0" applyNumberFormat="1" applyFont="1" applyFill="1" applyBorder="1" applyAlignment="1">
      <alignment horizontal="center" vertical="center"/>
    </xf>
    <xf numFmtId="3" fontId="21" fillId="8" borderId="9" xfId="0" applyNumberFormat="1" applyFont="1" applyFill="1" applyBorder="1" applyAlignment="1">
      <alignment horizontal="center" vertical="center"/>
    </xf>
    <xf numFmtId="0" fontId="21" fillId="8" borderId="9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21" fillId="14" borderId="5" xfId="0" applyFont="1" applyFill="1" applyBorder="1" applyAlignment="1">
      <alignment horizontal="center" vertical="center" wrapText="1"/>
    </xf>
    <xf numFmtId="0" fontId="21" fillId="14" borderId="6" xfId="0" applyFont="1" applyFill="1" applyBorder="1" applyAlignment="1">
      <alignment horizontal="center" vertical="center" wrapText="1"/>
    </xf>
    <xf numFmtId="0" fontId="21" fillId="14" borderId="7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5" fillId="0" borderId="0" xfId="0" applyFont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workbookViewId="0">
      <selection activeCell="F6" sqref="F6"/>
    </sheetView>
  </sheetViews>
  <sheetFormatPr defaultColWidth="11" defaultRowHeight="15.75" x14ac:dyDescent="0.25"/>
  <cols>
    <col min="1" max="1" width="25.125" customWidth="1"/>
    <col min="13" max="13" width="20.125" bestFit="1" customWidth="1"/>
  </cols>
  <sheetData>
    <row r="1" spans="1:13" ht="26.25" customHeight="1" x14ac:dyDescent="0.4">
      <c r="A1" s="2" t="s">
        <v>68</v>
      </c>
      <c r="E1" t="s">
        <v>69</v>
      </c>
    </row>
    <row r="2" spans="1:13" x14ac:dyDescent="0.25">
      <c r="E2" s="94" t="s">
        <v>147</v>
      </c>
    </row>
    <row r="3" spans="1:13" x14ac:dyDescent="0.25">
      <c r="A3" t="s">
        <v>70</v>
      </c>
      <c r="B3" s="10">
        <v>1550</v>
      </c>
      <c r="C3" s="10" t="s">
        <v>71</v>
      </c>
      <c r="D3" s="3"/>
      <c r="H3" s="6"/>
      <c r="J3" s="6"/>
      <c r="L3" s="5"/>
    </row>
    <row r="4" spans="1:13" x14ac:dyDescent="0.25">
      <c r="A4" t="s">
        <v>72</v>
      </c>
      <c r="B4" s="11">
        <v>166.01</v>
      </c>
      <c r="C4" s="10" t="s">
        <v>73</v>
      </c>
      <c r="D4" s="3"/>
      <c r="L4" s="7"/>
      <c r="M4" s="9"/>
    </row>
    <row r="5" spans="1:13" x14ac:dyDescent="0.25">
      <c r="A5" t="s">
        <v>74</v>
      </c>
      <c r="B5" s="12">
        <v>43963</v>
      </c>
      <c r="C5" s="10" t="s">
        <v>75</v>
      </c>
      <c r="D5" s="3"/>
    </row>
    <row r="6" spans="1:13" x14ac:dyDescent="0.25">
      <c r="B6" s="10"/>
      <c r="C6" s="10"/>
      <c r="D6" s="3"/>
    </row>
    <row r="7" spans="1:13" x14ac:dyDescent="0.25">
      <c r="A7" s="1" t="s">
        <v>76</v>
      </c>
      <c r="B7" s="10"/>
      <c r="C7" s="10"/>
      <c r="D7" s="3"/>
    </row>
    <row r="8" spans="1:13" x14ac:dyDescent="0.25">
      <c r="A8" s="1"/>
      <c r="B8" s="10"/>
      <c r="C8" s="10"/>
      <c r="D8" s="3"/>
    </row>
    <row r="9" spans="1:13" x14ac:dyDescent="0.25">
      <c r="A9" t="s">
        <v>77</v>
      </c>
      <c r="B9" s="13">
        <v>7.0000000000000007E-2</v>
      </c>
      <c r="C9" s="10"/>
      <c r="D9" s="3"/>
    </row>
    <row r="10" spans="1:13" x14ac:dyDescent="0.25">
      <c r="A10" t="s">
        <v>78</v>
      </c>
      <c r="B10" s="13">
        <v>0.05</v>
      </c>
      <c r="C10" s="10"/>
      <c r="D10" s="3"/>
    </row>
    <row r="11" spans="1:13" x14ac:dyDescent="0.25">
      <c r="A11" t="s">
        <v>79</v>
      </c>
      <c r="B11" s="13">
        <v>0.02</v>
      </c>
      <c r="C11" s="10"/>
      <c r="D11" s="3"/>
      <c r="H11" s="5"/>
    </row>
    <row r="12" spans="1:13" x14ac:dyDescent="0.25">
      <c r="B12" s="10"/>
      <c r="C12" s="10"/>
      <c r="D12" s="3"/>
    </row>
    <row r="13" spans="1:13" x14ac:dyDescent="0.25">
      <c r="A13" t="s">
        <v>80</v>
      </c>
      <c r="B13" s="13">
        <v>0.36699999999999999</v>
      </c>
      <c r="C13" s="10"/>
      <c r="D13" s="3"/>
      <c r="I13" s="5"/>
    </row>
    <row r="14" spans="1:13" x14ac:dyDescent="0.25">
      <c r="A14" t="s">
        <v>81</v>
      </c>
      <c r="B14" s="13">
        <v>4.9099999999999998E-2</v>
      </c>
      <c r="C14" s="10"/>
      <c r="D14" s="3"/>
    </row>
    <row r="15" spans="1:13" x14ac:dyDescent="0.25">
      <c r="A15" t="s">
        <v>82</v>
      </c>
      <c r="B15" s="14">
        <v>3.9E-2</v>
      </c>
      <c r="C15" s="10"/>
      <c r="D15" s="3"/>
      <c r="J15" s="4"/>
    </row>
    <row r="16" spans="1:13" x14ac:dyDescent="0.25">
      <c r="A16" t="s">
        <v>83</v>
      </c>
      <c r="B16" s="14">
        <v>5.0000000000000001E-3</v>
      </c>
      <c r="C16" s="10"/>
      <c r="D16" s="3"/>
      <c r="J16" s="4"/>
    </row>
    <row r="17" spans="1:4" x14ac:dyDescent="0.25">
      <c r="A17" t="s">
        <v>84</v>
      </c>
      <c r="B17" s="14">
        <v>0.19700000000000001</v>
      </c>
      <c r="C17" s="10"/>
      <c r="D17" s="3"/>
    </row>
    <row r="18" spans="1:4" x14ac:dyDescent="0.25">
      <c r="B18" s="10"/>
      <c r="C18" s="10"/>
    </row>
    <row r="19" spans="1:4" x14ac:dyDescent="0.25">
      <c r="A19" t="s">
        <v>85</v>
      </c>
      <c r="B19" s="14">
        <v>5.9499999999999997E-2</v>
      </c>
      <c r="C19" s="10"/>
    </row>
    <row r="20" spans="1:4" x14ac:dyDescent="0.25">
      <c r="A20" t="s">
        <v>86</v>
      </c>
      <c r="B20" s="14">
        <v>6.59E-2</v>
      </c>
      <c r="C20" s="10"/>
    </row>
    <row r="21" spans="1:4" x14ac:dyDescent="0.25">
      <c r="A21" t="s">
        <v>87</v>
      </c>
      <c r="B21" s="14">
        <v>3.3000000000000002E-2</v>
      </c>
      <c r="C21" s="10"/>
    </row>
    <row r="22" spans="1:4" x14ac:dyDescent="0.25">
      <c r="A22" t="s">
        <v>88</v>
      </c>
      <c r="B22" s="14">
        <v>2.64E-2</v>
      </c>
      <c r="C22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>
      <selection activeCell="C5" sqref="C5"/>
    </sheetView>
  </sheetViews>
  <sheetFormatPr defaultColWidth="15.625" defaultRowHeight="20.100000000000001" customHeight="1" x14ac:dyDescent="0.25"/>
  <cols>
    <col min="1" max="1" width="22.375" style="15" customWidth="1"/>
    <col min="2" max="2" width="15.625" style="15" customWidth="1"/>
    <col min="3" max="16384" width="15.625" style="15"/>
  </cols>
  <sheetData>
    <row r="1" spans="1:10" ht="20.100000000000001" customHeight="1" x14ac:dyDescent="0.4">
      <c r="A1" s="18" t="s">
        <v>0</v>
      </c>
      <c r="B1" s="16"/>
    </row>
    <row r="3" spans="1:10" s="17" customFormat="1" ht="20.100000000000001" customHeight="1" x14ac:dyDescent="0.25">
      <c r="B3" s="19" t="s">
        <v>1</v>
      </c>
      <c r="C3" s="19">
        <v>2026</v>
      </c>
      <c r="D3" s="19">
        <v>2027</v>
      </c>
      <c r="E3" s="19">
        <v>2028</v>
      </c>
      <c r="F3" s="19">
        <v>2029</v>
      </c>
      <c r="G3" s="19">
        <v>2030</v>
      </c>
      <c r="H3" s="19">
        <v>2031</v>
      </c>
      <c r="I3" s="19">
        <v>2032</v>
      </c>
    </row>
    <row r="4" spans="1:10" ht="20.100000000000001" customHeight="1" x14ac:dyDescent="0.25">
      <c r="A4" s="15" t="s">
        <v>2</v>
      </c>
      <c r="B4" s="15">
        <v>40648</v>
      </c>
    </row>
    <row r="5" spans="1:10" ht="20.100000000000001" customHeight="1" x14ac:dyDescent="0.25">
      <c r="A5" s="15" t="s">
        <v>3</v>
      </c>
      <c r="C5" s="15">
        <f>B4*(1+C6)</f>
        <v>43493.36</v>
      </c>
      <c r="D5" s="15">
        <f t="shared" ref="D5:I5" si="0">C5*(1+D6)</f>
        <v>46537.895200000006</v>
      </c>
      <c r="E5" s="15">
        <f t="shared" si="0"/>
        <v>49795.547864000007</v>
      </c>
      <c r="F5" s="15">
        <f t="shared" si="0"/>
        <v>52285.325257200013</v>
      </c>
      <c r="G5" s="15">
        <f t="shared" si="0"/>
        <v>54899.591520060014</v>
      </c>
      <c r="H5" s="15">
        <f t="shared" si="0"/>
        <v>57644.571096063017</v>
      </c>
      <c r="I5" s="15">
        <f t="shared" si="0"/>
        <v>60526.799650866167</v>
      </c>
    </row>
    <row r="6" spans="1:10" ht="20.100000000000001" customHeight="1" x14ac:dyDescent="0.25">
      <c r="A6" s="15" t="s">
        <v>4</v>
      </c>
      <c r="C6" s="4">
        <f>Assumptions!$B$9</f>
        <v>7.0000000000000007E-2</v>
      </c>
      <c r="D6" s="4">
        <f>Assumptions!$B$9</f>
        <v>7.0000000000000007E-2</v>
      </c>
      <c r="E6" s="4">
        <f>Assumptions!$B$9</f>
        <v>7.0000000000000007E-2</v>
      </c>
      <c r="F6" s="4">
        <f>Assumptions!$B$10</f>
        <v>0.05</v>
      </c>
      <c r="G6" s="4">
        <f>Assumptions!$B$10</f>
        <v>0.05</v>
      </c>
      <c r="H6" s="4">
        <f>Assumptions!$B$10</f>
        <v>0.05</v>
      </c>
      <c r="I6" s="4">
        <f>Assumptions!$B$10</f>
        <v>0.05</v>
      </c>
      <c r="J6" s="4"/>
    </row>
    <row r="7" spans="1:10" ht="20.100000000000001" customHeight="1" x14ac:dyDescent="0.25">
      <c r="A7" s="15" t="s">
        <v>5</v>
      </c>
      <c r="C7" s="15">
        <f>C5*Assumptions!$B$13</f>
        <v>15962.063120000001</v>
      </c>
      <c r="D7" s="15">
        <f>D5*Assumptions!$B$13</f>
        <v>17079.407538400003</v>
      </c>
      <c r="E7" s="15">
        <f>E5*Assumptions!$B$13</f>
        <v>18274.966066088004</v>
      </c>
      <c r="F7" s="15">
        <f>F5*Assumptions!$B$13</f>
        <v>19188.714369392404</v>
      </c>
      <c r="G7" s="15">
        <f>G5*Assumptions!$B$13</f>
        <v>20148.150087862025</v>
      </c>
      <c r="H7" s="15">
        <f>H5*Assumptions!$B$13</f>
        <v>21155.557592255125</v>
      </c>
      <c r="I7" s="15">
        <f>I5*Assumptions!$B$13</f>
        <v>22213.335471867882</v>
      </c>
    </row>
    <row r="8" spans="1:10" ht="20.100000000000001" customHeight="1" x14ac:dyDescent="0.25">
      <c r="A8" s="15" t="s">
        <v>6</v>
      </c>
      <c r="C8" s="4">
        <f>Assumptions!$B$13</f>
        <v>0.36699999999999999</v>
      </c>
      <c r="D8" s="4">
        <f>Assumptions!$B$13</f>
        <v>0.36699999999999999</v>
      </c>
      <c r="E8" s="4">
        <f>Assumptions!$B$13</f>
        <v>0.36699999999999999</v>
      </c>
      <c r="F8" s="4">
        <f>Assumptions!$B$13</f>
        <v>0.36699999999999999</v>
      </c>
      <c r="G8" s="4">
        <f>Assumptions!$B$13</f>
        <v>0.36699999999999999</v>
      </c>
      <c r="H8" s="4">
        <f>Assumptions!$B$13</f>
        <v>0.36699999999999999</v>
      </c>
      <c r="I8" s="4">
        <f>Assumptions!$B$13</f>
        <v>0.36699999999999999</v>
      </c>
      <c r="J8" s="4"/>
    </row>
    <row r="9" spans="1:10" ht="20.100000000000001" customHeight="1" x14ac:dyDescent="0.25">
      <c r="A9" s="15" t="s">
        <v>7</v>
      </c>
      <c r="C9" s="15">
        <f>Assumptions!$B$17*C7</f>
        <v>3144.5264346400004</v>
      </c>
      <c r="D9" s="15">
        <f>Assumptions!$B$17*D7</f>
        <v>3364.6432850648007</v>
      </c>
      <c r="E9" s="15">
        <f>Assumptions!$B$17*E7</f>
        <v>3600.1683150193367</v>
      </c>
      <c r="F9" s="15">
        <f>Assumptions!$B$17*F7</f>
        <v>3780.1767307703039</v>
      </c>
      <c r="G9" s="15">
        <f>Assumptions!$B$17*G7</f>
        <v>3969.1855673088189</v>
      </c>
      <c r="H9" s="15">
        <f>Assumptions!$B$17*H7</f>
        <v>4167.6448456742601</v>
      </c>
      <c r="I9" s="15">
        <f>Assumptions!$B$17*I7</f>
        <v>4376.027087957973</v>
      </c>
    </row>
    <row r="10" spans="1:10" ht="20.100000000000001" customHeight="1" x14ac:dyDescent="0.25">
      <c r="A10" s="15" t="s">
        <v>8</v>
      </c>
      <c r="C10" s="15">
        <f t="shared" ref="C10:I10" si="1">C7-C9</f>
        <v>12817.536685360001</v>
      </c>
      <c r="D10" s="15">
        <f t="shared" si="1"/>
        <v>13714.764253335201</v>
      </c>
      <c r="E10" s="15">
        <f t="shared" si="1"/>
        <v>14674.797751068667</v>
      </c>
      <c r="F10" s="15">
        <f t="shared" si="1"/>
        <v>15408.5376386221</v>
      </c>
      <c r="G10" s="15">
        <f t="shared" si="1"/>
        <v>16178.964520553205</v>
      </c>
      <c r="H10" s="15">
        <f t="shared" si="1"/>
        <v>16987.912746580863</v>
      </c>
      <c r="I10" s="15">
        <f t="shared" si="1"/>
        <v>17837.308383909909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workbookViewId="0">
      <selection activeCell="E22" sqref="E22"/>
    </sheetView>
  </sheetViews>
  <sheetFormatPr defaultColWidth="15.625" defaultRowHeight="20.100000000000001" customHeight="1" x14ac:dyDescent="0.25"/>
  <cols>
    <col min="1" max="1" width="22.375" style="15" customWidth="1"/>
    <col min="2" max="2" width="15.625" style="15" customWidth="1"/>
    <col min="3" max="16384" width="15.625" style="15"/>
  </cols>
  <sheetData>
    <row r="1" spans="1:9" ht="20.100000000000001" customHeight="1" x14ac:dyDescent="0.4">
      <c r="A1" s="18" t="s">
        <v>89</v>
      </c>
      <c r="B1" s="16"/>
    </row>
    <row r="3" spans="1:9" s="17" customFormat="1" ht="20.100000000000001" customHeight="1" x14ac:dyDescent="0.25">
      <c r="B3" s="19" t="s">
        <v>1</v>
      </c>
      <c r="C3" s="19">
        <v>2026</v>
      </c>
      <c r="D3" s="19">
        <v>2027</v>
      </c>
      <c r="E3" s="19">
        <v>2028</v>
      </c>
      <c r="F3" s="19">
        <v>2029</v>
      </c>
      <c r="G3" s="19">
        <v>2030</v>
      </c>
      <c r="H3" s="19">
        <v>2031</v>
      </c>
      <c r="I3" s="19">
        <v>2032</v>
      </c>
    </row>
    <row r="4" spans="1:9" ht="20.100000000000001" customHeight="1" x14ac:dyDescent="0.25">
      <c r="A4" s="15" t="s">
        <v>8</v>
      </c>
      <c r="C4" s="15">
        <f>'Income Statement'!C10</f>
        <v>12817.536685360001</v>
      </c>
      <c r="D4" s="15">
        <f>'Income Statement'!D10</f>
        <v>13714.764253335201</v>
      </c>
      <c r="E4" s="15">
        <f>'Income Statement'!E10</f>
        <v>14674.797751068667</v>
      </c>
      <c r="F4" s="15">
        <f>'Income Statement'!F10</f>
        <v>15408.5376386221</v>
      </c>
      <c r="G4" s="15">
        <f>'Income Statement'!G10</f>
        <v>16178.964520553205</v>
      </c>
      <c r="H4" s="15">
        <f>'Income Statement'!H10</f>
        <v>16987.912746580863</v>
      </c>
      <c r="I4" s="15">
        <f>'Income Statement'!I10</f>
        <v>17837.308383909909</v>
      </c>
    </row>
    <row r="5" spans="1:9" ht="20.100000000000001" customHeight="1" x14ac:dyDescent="0.25">
      <c r="A5" s="15" t="s">
        <v>90</v>
      </c>
      <c r="C5" s="15">
        <f>Assumptions!$B$14*'Income Statement'!C5</f>
        <v>2135.5239759999999</v>
      </c>
      <c r="D5" s="15">
        <f>Assumptions!$B$14*'Income Statement'!D5</f>
        <v>2285.0106543200004</v>
      </c>
      <c r="E5" s="15">
        <f>Assumptions!$B$14*'Income Statement'!E5</f>
        <v>2444.9614001224004</v>
      </c>
      <c r="F5" s="15">
        <f>Assumptions!$B$14*'Income Statement'!F5</f>
        <v>2567.2094701285205</v>
      </c>
      <c r="G5" s="15">
        <f>Assumptions!$B$14*'Income Statement'!G5</f>
        <v>2695.5699436349464</v>
      </c>
      <c r="H5" s="15">
        <f>Assumptions!$B$14*'Income Statement'!H5</f>
        <v>2830.3484408166942</v>
      </c>
      <c r="I5" s="15">
        <f>Assumptions!$B$14*'Income Statement'!I5</f>
        <v>2971.8658628575286</v>
      </c>
    </row>
    <row r="6" spans="1:9" ht="20.100000000000001" customHeight="1" x14ac:dyDescent="0.25">
      <c r="A6" s="15" t="s">
        <v>91</v>
      </c>
      <c r="C6" s="8">
        <f>Assumptions!$B$15*'Income Statement'!C5</f>
        <v>1696.2410400000001</v>
      </c>
      <c r="D6" s="8">
        <f>Assumptions!$B$15*'Income Statement'!D5</f>
        <v>1814.9779128000002</v>
      </c>
      <c r="E6" s="8">
        <f>Assumptions!$B$15*'Income Statement'!E5</f>
        <v>1942.0263666960002</v>
      </c>
      <c r="F6" s="8">
        <f>Assumptions!$B$15*'Income Statement'!F5</f>
        <v>2039.1276850308004</v>
      </c>
      <c r="G6" s="8">
        <f>Assumptions!$B$15*'Income Statement'!G5</f>
        <v>2141.0840692823404</v>
      </c>
      <c r="H6" s="8">
        <f>Assumptions!$B$15*'Income Statement'!H5</f>
        <v>2248.1382727464575</v>
      </c>
      <c r="I6" s="8">
        <f>Assumptions!$B$15*'Income Statement'!I5</f>
        <v>2360.5451863837807</v>
      </c>
    </row>
    <row r="7" spans="1:9" ht="20.100000000000001" customHeight="1" x14ac:dyDescent="0.25">
      <c r="A7" s="15" t="s">
        <v>92</v>
      </c>
      <c r="C7" s="15">
        <f>'Income Statement'!C5*Assumptions!$B$16</f>
        <v>217.46680000000001</v>
      </c>
      <c r="D7" s="15">
        <f>'Income Statement'!D5*Assumptions!$B$16</f>
        <v>232.68947600000004</v>
      </c>
      <c r="E7" s="15">
        <f>'Income Statement'!E5*Assumptions!$B$16</f>
        <v>248.97773932000004</v>
      </c>
      <c r="F7" s="15">
        <f>'Income Statement'!F5*Assumptions!$B$16</f>
        <v>261.42662628600004</v>
      </c>
      <c r="G7" s="15">
        <f>'Income Statement'!G5*Assumptions!$B$16</f>
        <v>274.49795760030008</v>
      </c>
      <c r="H7" s="15">
        <f>'Income Statement'!H5*Assumptions!$B$16</f>
        <v>288.2228554803151</v>
      </c>
      <c r="I7" s="15">
        <f>'Income Statement'!I5*Assumptions!$B$16</f>
        <v>302.63399825433083</v>
      </c>
    </row>
    <row r="8" spans="1:9" ht="20.100000000000001" customHeight="1" x14ac:dyDescent="0.25">
      <c r="A8" s="15" t="s">
        <v>93</v>
      </c>
      <c r="C8" s="8">
        <f t="shared" ref="C8:I8" si="0">C4+C5-C6-C7</f>
        <v>13039.35282136</v>
      </c>
      <c r="D8" s="8">
        <f t="shared" si="0"/>
        <v>13952.1075188552</v>
      </c>
      <c r="E8" s="8">
        <f t="shared" si="0"/>
        <v>14928.755045175069</v>
      </c>
      <c r="F8" s="8">
        <f t="shared" si="0"/>
        <v>15675.19279743382</v>
      </c>
      <c r="G8" s="8">
        <f t="shared" si="0"/>
        <v>16458.952437305514</v>
      </c>
      <c r="H8" s="8">
        <f t="shared" si="0"/>
        <v>17281.900059170785</v>
      </c>
      <c r="I8" s="8">
        <f t="shared" si="0"/>
        <v>18145.995062129325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7"/>
  <sheetViews>
    <sheetView workbookViewId="0">
      <selection activeCell="D27" sqref="D27"/>
    </sheetView>
  </sheetViews>
  <sheetFormatPr defaultColWidth="15.625" defaultRowHeight="20.100000000000001" customHeight="1" x14ac:dyDescent="0.25"/>
  <cols>
    <col min="1" max="1" width="22.375" style="15" customWidth="1"/>
    <col min="2" max="2" width="15.625" style="15" customWidth="1"/>
    <col min="3" max="16384" width="15.625" style="15"/>
  </cols>
  <sheetData>
    <row r="1" spans="1:9" ht="20.100000000000001" customHeight="1" x14ac:dyDescent="0.4">
      <c r="A1" s="18" t="s">
        <v>94</v>
      </c>
      <c r="B1" s="16"/>
    </row>
    <row r="3" spans="1:9" s="17" customFormat="1" ht="20.100000000000001" customHeight="1" x14ac:dyDescent="0.25">
      <c r="B3" s="19" t="s">
        <v>1</v>
      </c>
      <c r="C3" s="19">
        <v>2026</v>
      </c>
      <c r="D3" s="19">
        <v>2027</v>
      </c>
      <c r="E3" s="19">
        <v>2028</v>
      </c>
      <c r="F3" s="19">
        <v>2029</v>
      </c>
      <c r="G3" s="19">
        <v>2030</v>
      </c>
      <c r="H3" s="19">
        <v>2031</v>
      </c>
      <c r="I3" s="19">
        <v>2032</v>
      </c>
    </row>
    <row r="4" spans="1:9" ht="20.100000000000001" customHeight="1" x14ac:dyDescent="0.25">
      <c r="A4" s="15" t="s">
        <v>95</v>
      </c>
      <c r="C4" s="15">
        <f>FCF!C8</f>
        <v>13039.35282136</v>
      </c>
      <c r="D4" s="15">
        <f>FCF!D8</f>
        <v>13952.1075188552</v>
      </c>
      <c r="E4" s="15">
        <f>FCF!E8</f>
        <v>14928.755045175069</v>
      </c>
      <c r="F4" s="15">
        <f>FCF!F8</f>
        <v>15675.19279743382</v>
      </c>
      <c r="G4" s="15">
        <f>FCF!G8</f>
        <v>16458.952437305514</v>
      </c>
      <c r="H4" s="15">
        <f>FCF!H8</f>
        <v>17281.900059170785</v>
      </c>
      <c r="I4" s="15">
        <f>FCF!I8</f>
        <v>18145.995062129325</v>
      </c>
    </row>
    <row r="5" spans="1:9" ht="20.100000000000001" customHeight="1" x14ac:dyDescent="0.25">
      <c r="A5" s="15" t="s">
        <v>96</v>
      </c>
      <c r="C5" s="15">
        <f>1/(1+Assumptions!$B$19)^(C3-2025)</f>
        <v>0.94384143463898074</v>
      </c>
      <c r="D5" s="15">
        <f>1/(1+Assumptions!$B$19)^(D3-2025)</f>
        <v>0.89083665374136944</v>
      </c>
      <c r="E5" s="15">
        <f>1/(1+Assumptions!$B$19)^(E3-2025)</f>
        <v>0.84080854529624305</v>
      </c>
      <c r="F5" s="15">
        <f>1/(1+Assumptions!$B$19)^(F3-2025)</f>
        <v>0.79358994364912061</v>
      </c>
      <c r="G5" s="15">
        <f>1/(1+Assumptions!$B$19)^(G3-2025)</f>
        <v>0.7490230709288539</v>
      </c>
      <c r="H5" s="15">
        <f>1/(1+Assumptions!$B$19)^(H3-2025)</f>
        <v>0.7069590098431846</v>
      </c>
      <c r="I5" s="15">
        <f>1/(1+Assumptions!$B$19)^(I3-2025)</f>
        <v>0.66725720608134464</v>
      </c>
    </row>
    <row r="6" spans="1:9" ht="20.100000000000001" customHeight="1" x14ac:dyDescent="0.25">
      <c r="A6" s="15" t="s">
        <v>97</v>
      </c>
      <c r="C6" s="8">
        <f t="shared" ref="C6:I6" si="0">C4*C5</f>
        <v>12307.081473676264</v>
      </c>
      <c r="D6" s="8">
        <f t="shared" si="0"/>
        <v>12429.048774736768</v>
      </c>
      <c r="E6" s="8">
        <f t="shared" si="0"/>
        <v>12552.224812617598</v>
      </c>
      <c r="F6" s="8">
        <f t="shared" si="0"/>
        <v>12439.675368804606</v>
      </c>
      <c r="G6" s="8">
        <f t="shared" si="0"/>
        <v>12328.13509886252</v>
      </c>
      <c r="H6" s="8">
        <f t="shared" si="0"/>
        <v>12217.594954040251</v>
      </c>
      <c r="I6" s="8">
        <f t="shared" si="0"/>
        <v>12108.045966722289</v>
      </c>
    </row>
    <row r="8" spans="1:9" ht="20.100000000000001" customHeight="1" x14ac:dyDescent="0.25">
      <c r="A8" s="15" t="s">
        <v>98</v>
      </c>
      <c r="C8" s="8"/>
      <c r="D8" s="8"/>
      <c r="E8" s="8"/>
      <c r="F8" s="8"/>
      <c r="G8" s="8"/>
      <c r="H8" s="8"/>
      <c r="I8" s="8">
        <f>(I4*(1+Assumptions!$B$11)/(Assumptions!$B$19-Assumptions!$B$11))</f>
        <v>468580.12565498514</v>
      </c>
    </row>
    <row r="9" spans="1:9" ht="20.100000000000001" customHeight="1" x14ac:dyDescent="0.25">
      <c r="A9" s="15" t="s">
        <v>99</v>
      </c>
      <c r="I9" s="15">
        <f>I8*I5</f>
        <v>312663.4654697908</v>
      </c>
    </row>
    <row r="11" spans="1:9" ht="20.100000000000001" customHeight="1" x14ac:dyDescent="0.25">
      <c r="A11" s="15" t="s">
        <v>100</v>
      </c>
      <c r="C11" s="15">
        <f>SUM(C6:I6)</f>
        <v>86381.806449460288</v>
      </c>
    </row>
    <row r="12" spans="1:9" ht="20.100000000000001" customHeight="1" x14ac:dyDescent="0.25">
      <c r="A12" s="15" t="s">
        <v>99</v>
      </c>
      <c r="C12" s="15">
        <f>I9</f>
        <v>312663.4654697908</v>
      </c>
    </row>
    <row r="13" spans="1:9" ht="20.100000000000001" customHeight="1" x14ac:dyDescent="0.25">
      <c r="A13" s="15" t="s">
        <v>101</v>
      </c>
      <c r="C13" s="15">
        <f>C11+C12</f>
        <v>399045.27191925107</v>
      </c>
    </row>
    <row r="14" spans="1:9" ht="20.100000000000001" customHeight="1" x14ac:dyDescent="0.25">
      <c r="A14" s="15" t="s">
        <v>102</v>
      </c>
      <c r="C14" s="15">
        <f>Assumptions!B5</f>
        <v>43963</v>
      </c>
    </row>
    <row r="15" spans="1:9" ht="20.100000000000001" customHeight="1" x14ac:dyDescent="0.25">
      <c r="A15" s="15" t="s">
        <v>103</v>
      </c>
      <c r="C15" s="15">
        <f>C13-C14</f>
        <v>355082.27191925107</v>
      </c>
    </row>
    <row r="16" spans="1:9" ht="20.100000000000001" customHeight="1" x14ac:dyDescent="0.25">
      <c r="A16" s="15" t="s">
        <v>70</v>
      </c>
      <c r="C16" s="15">
        <f>Assumptions!B3</f>
        <v>1550</v>
      </c>
    </row>
    <row r="17" spans="1:3" ht="20.100000000000001" customHeight="1" x14ac:dyDescent="0.25">
      <c r="A17" s="15" t="s">
        <v>104</v>
      </c>
      <c r="C17" s="30">
        <f>C15/C16</f>
        <v>229.08533672209745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workbookViewId="0">
      <selection activeCell="J21" sqref="J21"/>
    </sheetView>
  </sheetViews>
  <sheetFormatPr defaultRowHeight="15.75" x14ac:dyDescent="0.25"/>
  <cols>
    <col min="1" max="1" width="17.75" customWidth="1"/>
    <col min="5" max="5" width="10.75" customWidth="1"/>
  </cols>
  <sheetData>
    <row r="1" spans="1:10" ht="45" customHeight="1" x14ac:dyDescent="0.25">
      <c r="A1" s="20" t="s">
        <v>105</v>
      </c>
      <c r="B1" s="21">
        <v>0.01</v>
      </c>
      <c r="C1" s="22">
        <v>1.4999999999999999E-2</v>
      </c>
      <c r="D1" s="23">
        <v>0.02</v>
      </c>
      <c r="E1" s="22">
        <v>2.5000000000000001E-2</v>
      </c>
      <c r="F1" s="22">
        <v>0.03</v>
      </c>
      <c r="I1" s="27" t="s">
        <v>106</v>
      </c>
      <c r="J1" s="27"/>
    </row>
    <row r="2" spans="1:10" x14ac:dyDescent="0.25">
      <c r="A2" s="22">
        <v>0.05</v>
      </c>
      <c r="B2" s="24">
        <f>(DCF!$C$11+(FCF!$I$8*(1+B$1)/($A2-B$1)*DCF!$I$5)-Assumptions!$B$5)/Assumptions!$B$3</f>
        <v>224.6109465220633</v>
      </c>
      <c r="C2" s="24">
        <f>(DCF!$C$11+(FCF!$I$8*(1+C$1)/($A2-C$1)*DCF!$I$5)-Assumptions!$B$5)/Assumptions!$B$3</f>
        <v>253.90460611897203</v>
      </c>
      <c r="D2" s="24">
        <f>(DCF!$C$11+(FCF!$I$8*(1+D$1)/($A2-D$1)*DCF!$I$5)-Assumptions!$B$5)/Assumptions!$B$3</f>
        <v>292.96281891485035</v>
      </c>
      <c r="E2" s="24">
        <f>(DCF!$C$11+(FCF!$I$8*(1+E$1)/($A2-E$1)*DCF!$I$5)-Assumptions!$B$5)/Assumptions!$B$3</f>
        <v>347.64431682908008</v>
      </c>
      <c r="F2" s="24">
        <f>(DCF!$C$11+(FCF!$I$8*(1+F$1)/($A2-F$1)*DCF!$I$5)-Assumptions!$B$5)/Assumptions!$B$3</f>
        <v>429.66656370042455</v>
      </c>
      <c r="I2" s="28">
        <v>46104</v>
      </c>
      <c r="J2" s="27"/>
    </row>
    <row r="3" spans="1:10" x14ac:dyDescent="0.25">
      <c r="A3" s="22">
        <v>5.5E-2</v>
      </c>
      <c r="B3" s="24">
        <f>(DCF!$C$11+(FCF!$I$8*(1+B$1)/($A3-B$1)*DCF!$I$5)-Assumptions!$B$5)/Assumptions!$B$3</f>
        <v>202.69494934215379</v>
      </c>
      <c r="C3" s="24">
        <f>(DCF!$C$11+(FCF!$I$8*(1+C$1)/($A3-C$1)*DCF!$I$5)-Assumptions!$B$5)/Assumptions!$B$3</f>
        <v>225.58740184196023</v>
      </c>
      <c r="D3" s="24">
        <f>(DCF!$C$11+(FCF!$I$8*(1+D$1)/($A3-D$1)*DCF!$I$5)-Assumptions!$B$5)/Assumptions!$B$3</f>
        <v>255.02055505599705</v>
      </c>
      <c r="E3" s="24">
        <f>(DCF!$C$11+(FCF!$I$8*(1+E$1)/($A3-E$1)*DCF!$I$5)-Assumptions!$B$5)/Assumptions!$B$3</f>
        <v>294.26475934137966</v>
      </c>
      <c r="F3" s="24">
        <f>(DCF!$C$11+(FCF!$I$8*(1+F$1)/($A3-F$1)*DCF!$I$5)-Assumptions!$B$5)/Assumptions!$B$3</f>
        <v>349.2066453409152</v>
      </c>
      <c r="I3" s="29">
        <v>166.01</v>
      </c>
      <c r="J3" s="27" t="s">
        <v>73</v>
      </c>
    </row>
    <row r="4" spans="1:10" x14ac:dyDescent="0.25">
      <c r="A4" s="23">
        <v>0.06</v>
      </c>
      <c r="B4" s="24">
        <f>(DCF!$C$11+(FCF!$I$8*(1+B$1)/($A4-B$1)*DCF!$I$5)-Assumptions!$B$5)/Assumptions!$B$3</f>
        <v>185.16215159822616</v>
      </c>
      <c r="C4" s="24">
        <f>(DCF!$C$11+(FCF!$I$8*(1+C$1)/($A4-C$1)*DCF!$I$5)-Assumptions!$B$5)/Assumptions!$B$3</f>
        <v>203.56290962650661</v>
      </c>
      <c r="D4" s="53">
        <f>(DCF!$C$11+(FCF!$I$8*(1+D$1)/($A4-D$1)*DCF!$I$5)-Assumptions!$B$5)/Assumptions!$B$3</f>
        <v>226.56385716185721</v>
      </c>
      <c r="E4" s="24">
        <f>(DCF!$C$11+(FCF!$I$8*(1+E$1)/($A4-E$1)*DCF!$I$5)-Assumptions!$B$5)/Assumptions!$B$3</f>
        <v>256.13650399302225</v>
      </c>
      <c r="F4" s="24">
        <f>(DCF!$C$11+(FCF!$I$8*(1+F$1)/($A4-F$1)*DCF!$I$5)-Assumptions!$B$5)/Assumptions!$B$3</f>
        <v>295.56669976790891</v>
      </c>
    </row>
    <row r="5" spans="1:10" x14ac:dyDescent="0.25">
      <c r="A5" s="22">
        <v>6.5000000000000002E-2</v>
      </c>
      <c r="B5" s="24">
        <f>(DCF!$C$11+(FCF!$I$8*(1+B$1)/($A5-B$1)*DCF!$I$5)-Assumptions!$B$5)/Assumptions!$B$3</f>
        <v>170.8171352622854</v>
      </c>
      <c r="C5" s="24">
        <f>(DCF!$C$11+(FCF!$I$8*(1+C$1)/($A5-C$1)*DCF!$I$5)-Assumptions!$B$5)/Assumptions!$B$3</f>
        <v>185.94331585414369</v>
      </c>
      <c r="D5" s="24">
        <f>(DCF!$C$11+(FCF!$I$8*(1+D$1)/($A5-D$1)*DCF!$I$5)-Assumptions!$B$5)/Assumptions!$B$3</f>
        <v>204.43086991085946</v>
      </c>
      <c r="E5" s="24">
        <f>(DCF!$C$11+(FCF!$I$8*(1+E$1)/($A5-E$1)*DCF!$I$5)-Assumptions!$B$5)/Assumptions!$B$3</f>
        <v>227.54031248175411</v>
      </c>
      <c r="F5" s="24">
        <f>(DCF!$C$11+(FCF!$I$8*(1+F$1)/($A5-F$1)*DCF!$I$5)-Assumptions!$B$5)/Assumptions!$B$3</f>
        <v>257.2524529300473</v>
      </c>
    </row>
    <row r="6" spans="1:10" x14ac:dyDescent="0.25">
      <c r="A6" s="22">
        <v>7.0000000000000007E-2</v>
      </c>
      <c r="B6" s="25">
        <f>(DCF!$C$11+(FCF!$I$8*(1+B$1)/($A6-B$1)*DCF!$I$5)-Assumptions!$B$5)/Assumptions!$B$3</f>
        <v>158.86295498233471</v>
      </c>
      <c r="C6" s="26">
        <f>(DCF!$C$11+(FCF!$I$8*(1+C$1)/($A6-C$1)*DCF!$I$5)-Assumptions!$B$5)/Assumptions!$B$3</f>
        <v>171.52728458584676</v>
      </c>
      <c r="D6" s="24">
        <f>(DCF!$C$11+(FCF!$I$8*(1+D$1)/($A6-D$1)*DCF!$I$5)-Assumptions!$B$5)/Assumptions!$B$3</f>
        <v>186.72448011006128</v>
      </c>
      <c r="E6" s="24">
        <f>(DCF!$C$11+(FCF!$I$8*(1+E$1)/($A6-E$1)*DCF!$I$5)-Assumptions!$B$5)/Assumptions!$B$3</f>
        <v>205.29883019521228</v>
      </c>
      <c r="F6" s="24">
        <f>(DCF!$C$11+(FCF!$I$8*(1+F$1)/($A6-F$1)*DCF!$I$5)-Assumptions!$B$5)/Assumptions!$B$3</f>
        <v>228.51676780165104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3"/>
  <sheetViews>
    <sheetView workbookViewId="0">
      <pane ySplit="5" topLeftCell="A6" activePane="bottomLeft" state="frozen"/>
      <selection pane="bottomLeft" activeCell="C25" sqref="C25:G25"/>
    </sheetView>
  </sheetViews>
  <sheetFormatPr defaultRowHeight="15.75" x14ac:dyDescent="0.25"/>
  <cols>
    <col min="1" max="1" width="17.25" customWidth="1"/>
    <col min="2" max="2" width="18" customWidth="1"/>
    <col min="3" max="3" width="62" customWidth="1"/>
    <col min="4" max="4" width="2" customWidth="1"/>
    <col min="5" max="5" width="20.125" customWidth="1"/>
    <col min="6" max="6" width="62" customWidth="1"/>
    <col min="7" max="14" width="2" customWidth="1"/>
  </cols>
  <sheetData>
    <row r="1" spans="1:7" ht="8.1" customHeight="1" x14ac:dyDescent="0.25"/>
    <row r="2" spans="1:7" ht="48" customHeight="1" x14ac:dyDescent="0.25">
      <c r="A2" s="52" t="s">
        <v>9</v>
      </c>
      <c r="B2" s="44"/>
      <c r="C2" s="44"/>
      <c r="D2" s="44"/>
      <c r="E2" s="44"/>
      <c r="F2" s="44"/>
      <c r="G2" s="44"/>
    </row>
    <row r="3" spans="1:7" ht="3.95" customHeight="1" x14ac:dyDescent="0.25">
      <c r="A3" s="31"/>
      <c r="B3" s="31"/>
      <c r="C3" s="31"/>
      <c r="D3" s="31"/>
      <c r="E3" s="31"/>
      <c r="F3" s="31"/>
      <c r="G3" s="31"/>
    </row>
    <row r="4" spans="1:7" ht="21.95" customHeight="1" x14ac:dyDescent="0.25">
      <c r="A4" s="48" t="s">
        <v>10</v>
      </c>
      <c r="B4" s="44"/>
      <c r="C4" s="44"/>
      <c r="D4" s="44"/>
      <c r="E4" s="44"/>
      <c r="F4" s="44"/>
      <c r="G4" s="44"/>
    </row>
    <row r="5" spans="1:7" ht="9.9499999999999993" customHeight="1" x14ac:dyDescent="0.25"/>
    <row r="6" spans="1:7" ht="21.95" customHeight="1" x14ac:dyDescent="0.25">
      <c r="A6" s="46" t="s">
        <v>11</v>
      </c>
      <c r="B6" s="44"/>
      <c r="C6" s="44"/>
      <c r="D6" s="44"/>
      <c r="E6" s="44"/>
      <c r="F6" s="44"/>
      <c r="G6" s="44"/>
    </row>
    <row r="7" spans="1:7" ht="56.1" customHeight="1" x14ac:dyDescent="0.25">
      <c r="A7" s="51" t="s">
        <v>12</v>
      </c>
      <c r="B7" s="44"/>
      <c r="C7" s="44"/>
      <c r="D7" s="44"/>
      <c r="E7" s="44"/>
      <c r="F7" s="44"/>
      <c r="G7" s="44"/>
    </row>
    <row r="8" spans="1:7" ht="8.1" customHeight="1" x14ac:dyDescent="0.25"/>
    <row r="9" spans="1:7" ht="21.95" customHeight="1" x14ac:dyDescent="0.25">
      <c r="A9" s="50" t="s">
        <v>13</v>
      </c>
      <c r="B9" s="44"/>
      <c r="C9" s="44"/>
      <c r="E9" s="49" t="s">
        <v>14</v>
      </c>
      <c r="F9" s="44"/>
      <c r="G9" s="44"/>
    </row>
    <row r="10" spans="1:7" ht="45.95" customHeight="1" x14ac:dyDescent="0.25">
      <c r="A10" s="32" t="s">
        <v>15</v>
      </c>
      <c r="B10" s="45" t="s">
        <v>16</v>
      </c>
      <c r="C10" s="44"/>
      <c r="D10" s="33"/>
      <c r="E10" s="34" t="s">
        <v>17</v>
      </c>
      <c r="F10" s="45" t="s">
        <v>18</v>
      </c>
      <c r="G10" s="44"/>
    </row>
    <row r="11" spans="1:7" ht="45.95" customHeight="1" x14ac:dyDescent="0.25">
      <c r="A11" s="35" t="s">
        <v>19</v>
      </c>
      <c r="B11" s="43" t="s">
        <v>20</v>
      </c>
      <c r="C11" s="44"/>
      <c r="D11" s="33"/>
      <c r="E11" s="36" t="s">
        <v>21</v>
      </c>
      <c r="F11" s="43" t="s">
        <v>22</v>
      </c>
      <c r="G11" s="44"/>
    </row>
    <row r="12" spans="1:7" ht="45.95" customHeight="1" x14ac:dyDescent="0.25">
      <c r="A12" s="32" t="s">
        <v>23</v>
      </c>
      <c r="B12" s="45" t="s">
        <v>24</v>
      </c>
      <c r="C12" s="44"/>
      <c r="D12" s="33"/>
      <c r="E12" s="34" t="s">
        <v>25</v>
      </c>
      <c r="F12" s="45" t="s">
        <v>26</v>
      </c>
      <c r="G12" s="44"/>
    </row>
    <row r="13" spans="1:7" ht="45.95" customHeight="1" x14ac:dyDescent="0.25">
      <c r="A13" s="35" t="s">
        <v>27</v>
      </c>
      <c r="B13" s="43" t="s">
        <v>28</v>
      </c>
      <c r="C13" s="44"/>
      <c r="D13" s="33"/>
      <c r="E13" s="36" t="s">
        <v>29</v>
      </c>
      <c r="F13" s="43" t="s">
        <v>30</v>
      </c>
      <c r="G13" s="44"/>
    </row>
    <row r="14" spans="1:7" ht="45.95" customHeight="1" x14ac:dyDescent="0.25">
      <c r="A14" s="32" t="s">
        <v>31</v>
      </c>
      <c r="B14" s="45" t="s">
        <v>32</v>
      </c>
      <c r="C14" s="44"/>
      <c r="D14" s="33"/>
      <c r="E14" s="34" t="s">
        <v>33</v>
      </c>
      <c r="F14" s="45" t="s">
        <v>34</v>
      </c>
      <c r="G14" s="44"/>
    </row>
    <row r="15" spans="1:7" ht="9.9499999999999993" customHeight="1" x14ac:dyDescent="0.25"/>
    <row r="16" spans="1:7" ht="21.95" customHeight="1" x14ac:dyDescent="0.25">
      <c r="A16" s="46" t="s">
        <v>35</v>
      </c>
      <c r="B16" s="44"/>
      <c r="C16" s="44"/>
      <c r="D16" s="44"/>
      <c r="E16" s="44"/>
      <c r="F16" s="44"/>
      <c r="G16" s="44"/>
    </row>
    <row r="17" spans="1:7" ht="42" customHeight="1" x14ac:dyDescent="0.25">
      <c r="A17" s="37" t="s">
        <v>36</v>
      </c>
      <c r="B17" s="47" t="s">
        <v>37</v>
      </c>
      <c r="C17" s="44"/>
      <c r="D17" s="44"/>
      <c r="E17" s="44"/>
      <c r="F17" s="44"/>
      <c r="G17" s="44"/>
    </row>
    <row r="18" spans="1:7" ht="42" customHeight="1" x14ac:dyDescent="0.25">
      <c r="A18" s="38" t="s">
        <v>38</v>
      </c>
      <c r="B18" s="45" t="s">
        <v>39</v>
      </c>
      <c r="C18" s="44"/>
      <c r="D18" s="44"/>
      <c r="E18" s="44"/>
      <c r="F18" s="44"/>
      <c r="G18" s="44"/>
    </row>
    <row r="19" spans="1:7" ht="42" customHeight="1" x14ac:dyDescent="0.25">
      <c r="A19" s="37" t="s">
        <v>40</v>
      </c>
      <c r="B19" s="47" t="s">
        <v>41</v>
      </c>
      <c r="C19" s="44"/>
      <c r="D19" s="44"/>
      <c r="E19" s="44"/>
      <c r="F19" s="44"/>
      <c r="G19" s="44"/>
    </row>
    <row r="20" spans="1:7" ht="42" customHeight="1" x14ac:dyDescent="0.25">
      <c r="A20" s="38" t="s">
        <v>42</v>
      </c>
      <c r="B20" s="45" t="s">
        <v>43</v>
      </c>
      <c r="C20" s="44"/>
      <c r="D20" s="44"/>
      <c r="E20" s="44"/>
      <c r="F20" s="44"/>
      <c r="G20" s="44"/>
    </row>
    <row r="21" spans="1:7" ht="9.9499999999999993" customHeight="1" x14ac:dyDescent="0.25"/>
    <row r="22" spans="1:7" ht="21.95" customHeight="1" x14ac:dyDescent="0.25">
      <c r="A22" s="46" t="s">
        <v>44</v>
      </c>
      <c r="B22" s="44"/>
      <c r="C22" s="44"/>
      <c r="D22" s="44"/>
      <c r="E22" s="44"/>
      <c r="F22" s="44"/>
      <c r="G22" s="44"/>
    </row>
    <row r="23" spans="1:7" ht="18" customHeight="1" x14ac:dyDescent="0.25">
      <c r="A23" s="39" t="s">
        <v>45</v>
      </c>
      <c r="B23" s="39" t="s">
        <v>46</v>
      </c>
      <c r="C23" s="39" t="s">
        <v>47</v>
      </c>
      <c r="D23" s="39"/>
      <c r="E23" s="39"/>
      <c r="F23" s="39"/>
      <c r="G23" s="39"/>
    </row>
    <row r="24" spans="1:7" ht="44.1" customHeight="1" x14ac:dyDescent="0.25">
      <c r="A24" s="38" t="s">
        <v>48</v>
      </c>
      <c r="B24" s="40" t="s">
        <v>49</v>
      </c>
      <c r="C24" s="45" t="s">
        <v>50</v>
      </c>
      <c r="D24" s="44"/>
      <c r="E24" s="44"/>
      <c r="F24" s="44"/>
      <c r="G24" s="44"/>
    </row>
    <row r="25" spans="1:7" ht="44.1" customHeight="1" x14ac:dyDescent="0.25">
      <c r="A25" s="41" t="s">
        <v>51</v>
      </c>
      <c r="B25" s="42" t="s">
        <v>52</v>
      </c>
      <c r="C25" s="43" t="s">
        <v>53</v>
      </c>
      <c r="D25" s="44"/>
      <c r="E25" s="44"/>
      <c r="F25" s="44"/>
      <c r="G25" s="44"/>
    </row>
    <row r="26" spans="1:7" ht="44.1" customHeight="1" x14ac:dyDescent="0.25">
      <c r="A26" s="38" t="s">
        <v>54</v>
      </c>
      <c r="B26" s="40" t="s">
        <v>55</v>
      </c>
      <c r="C26" s="45" t="s">
        <v>56</v>
      </c>
      <c r="D26" s="44"/>
      <c r="E26" s="44"/>
      <c r="F26" s="44"/>
      <c r="G26" s="44"/>
    </row>
    <row r="27" spans="1:7" ht="44.1" customHeight="1" x14ac:dyDescent="0.25">
      <c r="A27" s="41" t="s">
        <v>57</v>
      </c>
      <c r="B27" s="42" t="s">
        <v>58</v>
      </c>
      <c r="C27" s="43" t="s">
        <v>59</v>
      </c>
      <c r="D27" s="44"/>
      <c r="E27" s="44"/>
      <c r="F27" s="44"/>
      <c r="G27" s="44"/>
    </row>
    <row r="28" spans="1:7" ht="44.1" customHeight="1" x14ac:dyDescent="0.25">
      <c r="A28" s="38" t="s">
        <v>60</v>
      </c>
      <c r="B28" s="40" t="s">
        <v>61</v>
      </c>
      <c r="C28" s="45" t="s">
        <v>62</v>
      </c>
      <c r="D28" s="44"/>
      <c r="E28" s="44"/>
      <c r="F28" s="44"/>
      <c r="G28" s="44"/>
    </row>
    <row r="29" spans="1:7" ht="44.1" customHeight="1" x14ac:dyDescent="0.25">
      <c r="A29" s="41" t="s">
        <v>63</v>
      </c>
      <c r="B29" s="42" t="s">
        <v>64</v>
      </c>
      <c r="C29" s="43" t="s">
        <v>65</v>
      </c>
      <c r="D29" s="44"/>
      <c r="E29" s="44"/>
      <c r="F29" s="44"/>
      <c r="G29" s="44"/>
    </row>
    <row r="30" spans="1:7" ht="9.9499999999999993" customHeight="1" x14ac:dyDescent="0.25"/>
    <row r="31" spans="1:7" ht="21.95" customHeight="1" x14ac:dyDescent="0.25">
      <c r="A31" s="46" t="s">
        <v>66</v>
      </c>
      <c r="B31" s="44"/>
      <c r="C31" s="44"/>
      <c r="D31" s="44"/>
      <c r="E31" s="44"/>
      <c r="F31" s="44"/>
      <c r="G31" s="44"/>
    </row>
    <row r="32" spans="1:7" ht="90.75" customHeight="1" x14ac:dyDescent="0.25">
      <c r="A32" s="43" t="s">
        <v>67</v>
      </c>
      <c r="B32" s="44"/>
      <c r="C32" s="44"/>
      <c r="D32" s="44"/>
      <c r="E32" s="44"/>
      <c r="F32" s="44"/>
      <c r="G32" s="44"/>
    </row>
    <row r="33" ht="8.1" customHeight="1" x14ac:dyDescent="0.25"/>
  </sheetData>
  <mergeCells count="30">
    <mergeCell ref="A2:G2"/>
    <mergeCell ref="F14:G14"/>
    <mergeCell ref="B18:G18"/>
    <mergeCell ref="C25:G25"/>
    <mergeCell ref="B14:C14"/>
    <mergeCell ref="B13:C13"/>
    <mergeCell ref="B20:G20"/>
    <mergeCell ref="C27:G27"/>
    <mergeCell ref="A16:G16"/>
    <mergeCell ref="F13:G13"/>
    <mergeCell ref="C28:G28"/>
    <mergeCell ref="A4:G4"/>
    <mergeCell ref="E9:G9"/>
    <mergeCell ref="C26:G26"/>
    <mergeCell ref="B12:C12"/>
    <mergeCell ref="B19:G19"/>
    <mergeCell ref="F12:G12"/>
    <mergeCell ref="B11:C11"/>
    <mergeCell ref="A6:G6"/>
    <mergeCell ref="B10:C10"/>
    <mergeCell ref="A9:C9"/>
    <mergeCell ref="A7:G7"/>
    <mergeCell ref="A32:G32"/>
    <mergeCell ref="F11:G11"/>
    <mergeCell ref="F10:G10"/>
    <mergeCell ref="C24:G24"/>
    <mergeCell ref="A22:G22"/>
    <mergeCell ref="B17:G17"/>
    <mergeCell ref="C29:G29"/>
    <mergeCell ref="A31:G31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34B8A-9619-4FAB-9329-2BAE35E3B331}">
  <dimension ref="B1:I21"/>
  <sheetViews>
    <sheetView tabSelected="1" workbookViewId="0">
      <selection activeCell="H17" sqref="H17"/>
    </sheetView>
  </sheetViews>
  <sheetFormatPr defaultRowHeight="15.75" x14ac:dyDescent="0.25"/>
  <cols>
    <col min="1" max="1" width="2" customWidth="1"/>
    <col min="2" max="2" width="26" customWidth="1"/>
    <col min="3" max="3" width="8" customWidth="1"/>
    <col min="4" max="5" width="13" customWidth="1"/>
    <col min="6" max="6" width="11" customWidth="1"/>
    <col min="7" max="7" width="15.125" customWidth="1"/>
    <col min="8" max="9" width="11" customWidth="1"/>
    <col min="10" max="10" width="2" customWidth="1"/>
  </cols>
  <sheetData>
    <row r="1" spans="2:9" ht="6" customHeight="1" x14ac:dyDescent="0.25"/>
    <row r="2" spans="2:9" ht="15.95" customHeight="1" x14ac:dyDescent="0.25">
      <c r="B2" s="93" t="s">
        <v>146</v>
      </c>
      <c r="C2" s="44"/>
      <c r="D2" s="44"/>
      <c r="E2" s="44"/>
      <c r="F2" s="44"/>
      <c r="G2" s="44"/>
      <c r="H2" s="44"/>
      <c r="I2" s="44"/>
    </row>
    <row r="3" spans="2:9" ht="19.5" customHeight="1" x14ac:dyDescent="0.25">
      <c r="B3" s="92" t="s">
        <v>145</v>
      </c>
      <c r="C3" s="44"/>
      <c r="D3" s="44"/>
      <c r="E3" s="44"/>
      <c r="F3" s="44"/>
      <c r="G3" s="44"/>
      <c r="H3" s="44"/>
      <c r="I3" s="44"/>
    </row>
    <row r="4" spans="2:9" ht="8.1" customHeight="1" x14ac:dyDescent="0.25"/>
    <row r="5" spans="2:9" ht="15" customHeight="1" x14ac:dyDescent="0.25">
      <c r="B5" s="74" t="s">
        <v>144</v>
      </c>
      <c r="C5" s="44"/>
      <c r="D5" s="44"/>
      <c r="E5" s="44"/>
      <c r="F5" s="44"/>
      <c r="G5" s="44"/>
      <c r="H5" s="44"/>
      <c r="I5" s="44"/>
    </row>
    <row r="6" spans="2:9" ht="27.75" customHeight="1" x14ac:dyDescent="0.25">
      <c r="B6" s="91" t="s">
        <v>143</v>
      </c>
      <c r="C6" s="90" t="s">
        <v>142</v>
      </c>
      <c r="D6" s="90" t="s">
        <v>141</v>
      </c>
      <c r="E6" s="90" t="s">
        <v>140</v>
      </c>
      <c r="F6" s="90" t="s">
        <v>139</v>
      </c>
      <c r="G6" s="90" t="s">
        <v>138</v>
      </c>
      <c r="H6" s="90" t="s">
        <v>137</v>
      </c>
      <c r="I6" s="89" t="s">
        <v>136</v>
      </c>
    </row>
    <row r="7" spans="2:9" ht="15.95" customHeight="1" x14ac:dyDescent="0.25">
      <c r="B7" s="88" t="s">
        <v>135</v>
      </c>
      <c r="C7" s="87" t="s">
        <v>134</v>
      </c>
      <c r="D7" s="86">
        <v>257000</v>
      </c>
      <c r="E7" s="86">
        <v>300000</v>
      </c>
      <c r="F7" s="85">
        <v>17.2</v>
      </c>
      <c r="G7" s="85">
        <v>22.4</v>
      </c>
      <c r="H7" s="85">
        <v>7.4</v>
      </c>
      <c r="I7" s="84">
        <v>3.5999999999999997E-2</v>
      </c>
    </row>
    <row r="8" spans="2:9" ht="15.95" customHeight="1" x14ac:dyDescent="0.25">
      <c r="B8" s="83" t="s">
        <v>133</v>
      </c>
      <c r="C8" s="82" t="s">
        <v>132</v>
      </c>
      <c r="D8" s="81">
        <v>68000</v>
      </c>
      <c r="E8" s="81">
        <v>105000</v>
      </c>
      <c r="F8" s="80">
        <v>7.8</v>
      </c>
      <c r="G8" s="80">
        <v>11.2</v>
      </c>
      <c r="H8" s="80">
        <v>4.0999999999999996</v>
      </c>
      <c r="I8" s="79">
        <v>5.5E-2</v>
      </c>
    </row>
    <row r="9" spans="2:9" ht="15.95" customHeight="1" x14ac:dyDescent="0.25">
      <c r="B9" s="83" t="s">
        <v>131</v>
      </c>
      <c r="C9" s="82" t="s">
        <v>130</v>
      </c>
      <c r="D9" s="81">
        <v>98000</v>
      </c>
      <c r="E9" s="81">
        <v>115000</v>
      </c>
      <c r="F9" s="80">
        <v>9.5</v>
      </c>
      <c r="G9" s="80">
        <v>11.5</v>
      </c>
      <c r="H9" s="80">
        <v>5.7</v>
      </c>
      <c r="I9" s="79">
        <v>6.0999999999999999E-2</v>
      </c>
    </row>
    <row r="10" spans="2:9" ht="15.95" customHeight="1" x14ac:dyDescent="0.25">
      <c r="B10" s="83" t="s">
        <v>129</v>
      </c>
      <c r="C10" s="82" t="s">
        <v>128</v>
      </c>
      <c r="D10" s="81">
        <v>52000</v>
      </c>
      <c r="E10" s="81">
        <v>62000</v>
      </c>
      <c r="F10" s="80">
        <v>8.4</v>
      </c>
      <c r="G10" s="80">
        <v>17.100000000000001</v>
      </c>
      <c r="H10" s="80">
        <v>2.2999999999999998</v>
      </c>
      <c r="I10" s="79">
        <v>4.1000000000000002E-2</v>
      </c>
    </row>
    <row r="11" spans="2:9" ht="15.95" customHeight="1" x14ac:dyDescent="0.25">
      <c r="B11" s="83" t="s">
        <v>127</v>
      </c>
      <c r="C11" s="82" t="s">
        <v>126</v>
      </c>
      <c r="D11" s="81">
        <v>24000</v>
      </c>
      <c r="E11" s="81">
        <v>38000</v>
      </c>
      <c r="F11" s="80">
        <v>6.5</v>
      </c>
      <c r="G11" s="80">
        <v>8.6999999999999993</v>
      </c>
      <c r="H11" s="80">
        <v>0.7</v>
      </c>
      <c r="I11" s="79">
        <v>5.1999999999999998E-2</v>
      </c>
    </row>
    <row r="12" spans="2:9" ht="15" customHeight="1" x14ac:dyDescent="0.25">
      <c r="B12" s="78" t="s">
        <v>125</v>
      </c>
      <c r="C12" s="77"/>
      <c r="D12" s="77"/>
      <c r="E12" s="77"/>
      <c r="F12" s="76">
        <v>8.1</v>
      </c>
      <c r="G12" s="76">
        <v>12.1</v>
      </c>
      <c r="H12" s="76">
        <v>3.2</v>
      </c>
      <c r="I12" s="75"/>
    </row>
    <row r="13" spans="2:9" ht="15" customHeight="1" x14ac:dyDescent="0.25">
      <c r="B13" s="78" t="s">
        <v>124</v>
      </c>
      <c r="C13" s="77"/>
      <c r="D13" s="77"/>
      <c r="E13" s="77"/>
      <c r="F13" s="76">
        <v>8.1</v>
      </c>
      <c r="G13" s="76">
        <v>11.3</v>
      </c>
      <c r="H13" s="76">
        <v>3.2</v>
      </c>
      <c r="I13" s="75"/>
    </row>
    <row r="15" spans="2:9" ht="15" customHeight="1" x14ac:dyDescent="0.25">
      <c r="B15" s="74" t="s">
        <v>123</v>
      </c>
      <c r="C15" s="44"/>
      <c r="D15" s="44"/>
      <c r="E15" s="44"/>
      <c r="F15" s="44"/>
      <c r="G15" s="44"/>
      <c r="H15" s="44"/>
      <c r="I15" s="44"/>
    </row>
    <row r="16" spans="2:9" ht="15.95" customHeight="1" x14ac:dyDescent="0.25">
      <c r="B16" s="73" t="s">
        <v>122</v>
      </c>
      <c r="C16" s="71" t="s">
        <v>121</v>
      </c>
      <c r="D16" s="72"/>
      <c r="E16" s="71" t="s">
        <v>120</v>
      </c>
      <c r="F16" s="72"/>
      <c r="G16" s="71" t="s">
        <v>119</v>
      </c>
      <c r="H16" s="71" t="s">
        <v>118</v>
      </c>
      <c r="I16" s="70" t="s">
        <v>117</v>
      </c>
    </row>
    <row r="17" spans="2:9" ht="15.95" customHeight="1" x14ac:dyDescent="0.25">
      <c r="B17" s="69" t="s">
        <v>116</v>
      </c>
      <c r="C17" s="68" t="s">
        <v>115</v>
      </c>
      <c r="D17" s="67"/>
      <c r="E17" s="68" t="s">
        <v>114</v>
      </c>
      <c r="F17" s="67"/>
      <c r="G17" s="66">
        <v>144941</v>
      </c>
      <c r="H17" s="65">
        <v>65.150000000000006</v>
      </c>
      <c r="I17" s="64" t="s">
        <v>113</v>
      </c>
    </row>
    <row r="18" spans="2:9" ht="15.95" customHeight="1" x14ac:dyDescent="0.25">
      <c r="B18" s="63" t="s">
        <v>112</v>
      </c>
      <c r="C18" s="62" t="s">
        <v>111</v>
      </c>
      <c r="D18" s="61"/>
      <c r="E18" s="62" t="s">
        <v>110</v>
      </c>
      <c r="F18" s="61"/>
      <c r="G18" s="60">
        <v>130074</v>
      </c>
      <c r="H18" s="59">
        <v>55.56</v>
      </c>
      <c r="I18" s="58" t="s">
        <v>109</v>
      </c>
    </row>
    <row r="19" spans="2:9" ht="15.95" customHeight="1" x14ac:dyDescent="0.25">
      <c r="B19" s="57" t="s">
        <v>108</v>
      </c>
      <c r="C19" s="44"/>
      <c r="D19" s="44"/>
      <c r="E19" s="44"/>
      <c r="F19" s="44"/>
      <c r="G19" s="44"/>
      <c r="H19" s="56">
        <v>229.09</v>
      </c>
      <c r="I19" s="55"/>
    </row>
    <row r="21" spans="2:9" x14ac:dyDescent="0.25">
      <c r="B21" s="54" t="s">
        <v>107</v>
      </c>
      <c r="C21" s="44"/>
      <c r="D21" s="44"/>
      <c r="E21" s="44"/>
      <c r="F21" s="44"/>
      <c r="G21" s="44"/>
      <c r="H21" s="44"/>
      <c r="I21" s="44"/>
    </row>
  </sheetData>
  <mergeCells count="6">
    <mergeCell ref="B19:G19"/>
    <mergeCell ref="B21:I21"/>
    <mergeCell ref="B15:I15"/>
    <mergeCell ref="B2:I2"/>
    <mergeCell ref="B3:I3"/>
    <mergeCell ref="B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Income Statement</vt:lpstr>
      <vt:lpstr>FCF</vt:lpstr>
      <vt:lpstr>DCF</vt:lpstr>
      <vt:lpstr>Sensitivity Analysis</vt:lpstr>
      <vt:lpstr>Qualitative Analysis</vt:lpstr>
      <vt:lpstr>Comparable 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Sun</dc:creator>
  <cp:lastModifiedBy>Kevin Sun</cp:lastModifiedBy>
  <dcterms:created xsi:type="dcterms:W3CDTF">2026-03-23T00:51:55Z</dcterms:created>
  <dcterms:modified xsi:type="dcterms:W3CDTF">2026-04-05T05:19:45Z</dcterms:modified>
</cp:coreProperties>
</file>